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2.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xl/comments2.xml" ContentType="application/vnd.openxmlformats-officedocument.spreadsheetml.comments+xml"/>
  <Override PartName="/xl/drawings/vmlDrawing1.vml" ContentType="application/vnd.openxmlformats-officedocument.vmlDrawing"/>
  <Override PartName="/xl/tables/table1.xml" ContentType="application/vnd.openxmlformats-officedocument.spreadsheetml.table+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Calc" sheetId="1" state="visible" r:id="rId3"/>
    <sheet name="Spec" sheetId="2" state="visible" r:id="rId4"/>
    <sheet name="Load Sheet" sheetId="3" state="visible" r:id="rId5"/>
  </sheets>
  <definedNames>
    <definedName function="false" hidden="false" localSheetId="2" name="_xlnm.Print_Area" vbProcedure="false">'Load Sheet'!$A$1:$H$73</definedName>
    <definedName function="false" hidden="false" name="SPEC" vbProcedure="false">OFFSET(Spec!$A$2,0,0,COUNTA(Spec!$A$2:$A$507),4)</definedName>
    <definedName function="false" hidden="false" name="SPEC_NAME" vbProcedure="false">OFFSET(Spec!$A$2,0,0,COUNTA(Spec!$A$2:$A$507),1)</definedName>
  </definedNames>
  <calcPr iterateCount="100" refMode="A1" iterate="false" iterateDelta="0.0001"/>
  <extLst>
    <ext xmlns:loext="http://schemas.libreoffice.org/" uri="{7626C862-2A13-11E5-B345-FEFF819CDC9F}">
      <loext:extCalcPr stringRefSyntax="ExcelA1"/>
    </ext>
  </extLst>
</workbook>
</file>

<file path=xl/comments2.xml><?xml version="1.0" encoding="utf-8"?>
<comments xmlns="http://schemas.openxmlformats.org/spreadsheetml/2006/main" xmlns:xdr="http://schemas.openxmlformats.org/drawingml/2006/spreadsheetDrawing">
  <authors>
    <author>Unknown Author</author>
  </authors>
  <commentList>
    <comment ref="B1" authorId="0">
      <text>
        <r>
          <rPr>
            <sz val="10"/>
            <rFont val="Arial"/>
            <family val="2"/>
          </rPr>
          <t xml:space="preserve">For "per m" rows this is Kg per metre. TBC = weight not yet recorded — flagged on the Calc sheet if selected.</t>
        </r>
      </text>
    </comment>
    <comment ref="D1" authorId="0">
      <text>
        <r>
          <rPr>
            <sz val="10"/>
            <rFont val="Arial"/>
            <family val="2"/>
          </rPr>
          <t xml:space="preserve">SWL/WLL parsed from the item description. Verify against manufacturer data before relying on it.</t>
        </r>
      </text>
    </comment>
  </commentList>
</comments>
</file>

<file path=xl/sharedStrings.xml><?xml version="1.0" encoding="utf-8"?>
<sst xmlns="http://schemas.openxmlformats.org/spreadsheetml/2006/main" count="552" uniqueCount="304">
  <si>
    <t xml:space="preserve">Job</t>
  </si>
  <si>
    <t xml:space="preserve">The Ballroom</t>
  </si>
  <si>
    <t xml:space="preserve">Status</t>
  </si>
  <si>
    <t xml:space="preserve">Draft</t>
  </si>
  <si>
    <t xml:space="preserve">Job Date</t>
  </si>
  <si>
    <t xml:space="preserve">Revision</t>
  </si>
  <si>
    <t xml:space="preserve">Designer</t>
  </si>
  <si>
    <t xml:space="preserve">Mark Hughes</t>
  </si>
  <si>
    <t xml:space="preserve">Load over people?</t>
  </si>
  <si>
    <t xml:space="preserve">Venue</t>
  </si>
  <si>
    <t xml:space="preserve">Top rigging included?</t>
  </si>
  <si>
    <t xml:space="preserve">Yes</t>
  </si>
  <si>
    <t xml:space="preserve">Sub System</t>
  </si>
  <si>
    <t xml:space="preserve">Main Hang Left</t>
  </si>
  <si>
    <t xml:space="preserve">Hoist orientation</t>
  </si>
  <si>
    <t xml:space="preserve">Body down</t>
  </si>
  <si>
    <t xml:space="preserve">Point ID / Location</t>
  </si>
  <si>
    <t xml:space="preserve">NOTES</t>
  </si>
  <si>
    <t xml:space="preserve">ITEM</t>
  </si>
  <si>
    <t xml:space="preserve">Item Kg or Kg/m</t>
  </si>
  <si>
    <t xml:space="preserve">Length (m)</t>
  </si>
  <si>
    <t xml:space="preserve">Line Weight</t>
  </si>
  <si>
    <t xml:space="preserve">Qty</t>
  </si>
  <si>
    <t xml:space="preserve">Total Weight</t>
  </si>
  <si>
    <t xml:space="preserve">SWL / WLL (kg)</t>
  </si>
  <si>
    <t xml:space="preserve">Carried load (static)</t>
  </si>
  <si>
    <t xml:space="preserve">Carried load (+ contingency)</t>
  </si>
  <si>
    <t xml:space="preserve">Used</t>
  </si>
  <si>
    <t xml:space="preserve">TOP RIGGING – above the hoist (list top-down)</t>
  </si>
  <si>
    <t xml:space="preserve">Subtotal</t>
  </si>
  <si>
    <t xml:space="preserve">Steel</t>
  </si>
  <si>
    <t xml:space="preserve">Wire rope sling 10mm 1,280 Kg SWL EN13414-1:2003</t>
  </si>
  <si>
    <t xml:space="preserve">HOIST – body, chain, bag and hoist cables</t>
  </si>
  <si>
    <t xml:space="preserve">Hoist</t>
  </si>
  <si>
    <t xml:space="preserve">Lodestar D8 LL 1000 Kg 1 Fall 7.92 x 21.80</t>
  </si>
  <si>
    <t xml:space="preserve">Hoist Chain</t>
  </si>
  <si>
    <t xml:space="preserve">CM 7.92 x 21.80 1 Fall</t>
  </si>
  <si>
    <t xml:space="preserve">Hoist Chain Bag</t>
  </si>
  <si>
    <t xml:space="preserve">Hoist Power</t>
  </si>
  <si>
    <t xml:space="preserve">H07RN-F 4x 2.5mm²</t>
  </si>
  <si>
    <t xml:space="preserve">Hoist Control</t>
  </si>
  <si>
    <t xml:space="preserve">H07RN-F 3x 2.5mm²</t>
  </si>
  <si>
    <t xml:space="preserve">Hoist Control Connector</t>
  </si>
  <si>
    <t xml:space="preserve">PCE Midnight IP44 Shark 16A Plug 3 Pole</t>
  </si>
  <si>
    <t xml:space="preserve">Hoist Power Connector</t>
  </si>
  <si>
    <t xml:space="preserve">PCE Midnight IP44 Shark 16A Socket 4 Pole</t>
  </si>
  <si>
    <t xml:space="preserve">HOOK / JUNCTION – below the hoist, feeds both paths</t>
  </si>
  <si>
    <t xml:space="preserve">Shackles</t>
  </si>
  <si>
    <t xml:space="preserve">Crosby S-209T Theatrical Shackle 3¼t</t>
  </si>
  <si>
    <t xml:space="preserve">Master Link</t>
  </si>
  <si>
    <t xml:space="preserve">Grade 80 Masterlink ML/A16 2.5t WLL</t>
  </si>
  <si>
    <t xml:space="preserve">LOAD PATH 1 – ARRAY (list top-down)</t>
  </si>
  <si>
    <t xml:space="preserve">Rigging Frame</t>
  </si>
  <si>
    <t xml:space="preserve">L-Acoustics M-BAR</t>
  </si>
  <si>
    <t xml:space="preserve">L-Acoustics M-BUMP</t>
  </si>
  <si>
    <t xml:space="preserve">Mid Hi Box</t>
  </si>
  <si>
    <t xml:space="preserve">L-Acoustics KARA II</t>
  </si>
  <si>
    <t xml:space="preserve">LOAD PATH 2 – CABLES &amp; CABLE PICK (list top-down)</t>
  </si>
  <si>
    <t xml:space="preserve">Cable Pick</t>
  </si>
  <si>
    <t xml:space="preserve">Roundsling 2t EN1492-2:2000 1.0mtr Circ 0.5mtr EWL</t>
  </si>
  <si>
    <t xml:space="preserve">Array Signal</t>
  </si>
  <si>
    <t xml:space="preserve">Klotz eXtreme, 8 x 4,0 mm² with PA-COM 8p</t>
  </si>
  <si>
    <t xml:space="preserve">Cable Split</t>
  </si>
  <si>
    <t xml:space="preserve">Klotz L-ACOUSTICS DOFILL</t>
  </si>
  <si>
    <t xml:space="preserve">TOTAL STATIC WEIGHT</t>
  </si>
  <si>
    <t xml:space="preserve">Data check</t>
  </si>
  <si>
    <t xml:space="preserve">CONNECTION POINT – everything below it</t>
  </si>
  <si>
    <t xml:space="preserve">Static load at point (unfactored)</t>
  </si>
  <si>
    <t xml:space="preserve">Contingency – unlisted items / measurement error</t>
  </si>
  <si>
    <t xml:space="preserve">DESIGN LOAD AT POINT</t>
  </si>
  <si>
    <t xml:space="preserve">Stated point capacity</t>
  </si>
  <si>
    <t xml:space="preserve">Leave blank if the design load is being submitted for approval.</t>
  </si>
  <si>
    <t xml:space="preserve">Source of figure</t>
  </si>
  <si>
    <t xml:space="preserve">Conditions / limitations</t>
  </si>
  <si>
    <t xml:space="preserve">Print stated capacity on Load Sheet?</t>
  </si>
  <si>
    <t xml:space="preserve">No</t>
  </si>
  <si>
    <t xml:space="preserve">Point status</t>
  </si>
  <si>
    <t xml:space="preserve">CAPACITY SUMMARY – each component checked against the load it carries</t>
  </si>
  <si>
    <t xml:space="preserve">Check</t>
  </si>
  <si>
    <t xml:space="preserve">Governing component</t>
  </si>
  <si>
    <t xml:space="preserve">SWL / WLL</t>
  </si>
  <si>
    <t xml:space="preserve">Connection point</t>
  </si>
  <si>
    <t xml:space="preserve">Top rigging</t>
  </si>
  <si>
    <t xml:space="preserve">Hook / junction</t>
  </si>
  <si>
    <t xml:space="preserve">Load path 1 – array</t>
  </si>
  <si>
    <t xml:space="preserve">Load path 2 – cables</t>
  </si>
  <si>
    <t xml:space="preserve">GOVERNING COMPONENT</t>
  </si>
  <si>
    <t xml:space="preserve">Equipment only – the connection point is reported separately above.</t>
  </si>
  <si>
    <t xml:space="preserve">SCOPE</t>
  </si>
  <si>
    <t xml:space="preserve">Analyses the load paths of ONE hang. Each rated component is checked against the load it carries: top rigging carries everything; the hoist carries the hook load (body up) or its own zone plus the hook load (body down); the hook/junction carries both paths; each path component carries the items listed below it. It is a load list, not a rigging design: bridle geometry, sling angles, load transfer between points and the venue structure are not assessed.</t>
  </si>
  <si>
    <t xml:space="preserve">ARRAY FRAMES</t>
  </si>
  <si>
    <t xml:space="preserve">Frame and bumper SWL is checked as a simple vertical load. Array mechanical limits (box count, tilt, pick-up point) must be verified in the manufacturer's software (e.g. Soundvision).</t>
  </si>
  <si>
    <t xml:space="preserve">TOP RIGGING</t>
  </si>
  <si>
    <t xml:space="preserve">Where "Top rigging included?" is No, components above the hoist are NOT listed and NOT checked. The head rigger must verify the rating of the complete load path above the hoist.</t>
  </si>
  <si>
    <t xml:space="preserve">MULTI-POINT ARRAYS</t>
  </si>
  <si>
    <t xml:space="preserve">Where an array is flown from 2 or 3 points, DO NOT assume each point carries a proportional share of the load. During build, breakout, trimming and levelling – and if an adjacent point fails – a single point may carry up to 100% of the total array weight. Each point must be rated for the full array load unless a competent person has assessed otherwise.</t>
  </si>
  <si>
    <t xml:space="preserve">DATA</t>
  </si>
  <si>
    <t xml:space="preserve">Weights and SWL/WLL figures are taken from the Spec library and are indicative only. Verify against current manufacturer data and the certification of the actual equipment before use. TBC items have no recorded weight and are excluded from totals. Where several rated items share a zone or a quantity is greater than 1, each is checked against the full load below it (load is not shared). Unrated items are not checked.</t>
  </si>
  <si>
    <t xml:space="preserve">LOADS</t>
  </si>
  <si>
    <t xml:space="preserve">Static weights only. No dynamic, shock or snatch allowance is included; these must be prevented by procedure. The contingency covers unlisted items and measurement error only. The static load at the point is UNFACTORED and is the figure for structural assessment. 1t = 1,000 kg.</t>
  </si>
  <si>
    <t xml:space="preserve">Yellow cells = enter / select. List items top-down within each zone: a component carries only the items listed beneath it in its own zone.</t>
  </si>
  <si>
    <t xml:space="preserve">Item</t>
  </si>
  <si>
    <t xml:space="preserve">Kg</t>
  </si>
  <si>
    <t xml:space="preserve">Per</t>
  </si>
  <si>
    <t xml:space="preserve">SWL (kg)</t>
  </si>
  <si>
    <t xml:space="preserve">VAN DAMME TOUR GRADE CLASSIC XKE STARQUAD MICROPHONE CABLE</t>
  </si>
  <si>
    <t xml:space="preserve">TBC</t>
  </si>
  <si>
    <t xml:space="preserve">per m</t>
  </si>
  <si>
    <t xml:space="preserve">Van Damme Black Series Tour Grade 4 x 2.5mm²</t>
  </si>
  <si>
    <t xml:space="preserve">Van Damme Black Series Tour Grade 6 x 2.5mm²</t>
  </si>
  <si>
    <t xml:space="preserve">Van Damme Black Series Tour Grade 8 x 2.5mm²</t>
  </si>
  <si>
    <t xml:space="preserve">Van Damme Black Series Tour Grade 4 x 4.0mm²</t>
  </si>
  <si>
    <t xml:space="preserve">Van Damme Black Series Tour Grade 8 x 4.0mm²</t>
  </si>
  <si>
    <t xml:space="preserve">Van Damme Black Series Tour Grade 18 x 1.5mm²</t>
  </si>
  <si>
    <t xml:space="preserve">Van Damme Black Series Tour Grade 18 x 2.5mm²</t>
  </si>
  <si>
    <t xml:space="preserve">Van Damme Black Series Tour Grade 16 x 4.0mm²</t>
  </si>
  <si>
    <t xml:space="preserve">Van Damme Black Series Tour Grade 24 x 4.0mm²</t>
  </si>
  <si>
    <t xml:space="preserve">Klotz eXtreme, 24x 4,0 mm² with PA-COM 25p</t>
  </si>
  <si>
    <t xml:space="preserve">Klotz eXtreme, 8 x 4.0 mm² with metal speakON</t>
  </si>
  <si>
    <t xml:space="preserve">Klotz eXtreme, 4 x 4,0 mm² with metal speakON</t>
  </si>
  <si>
    <t xml:space="preserve">H07RN-F 2x 1.0mm²</t>
  </si>
  <si>
    <t xml:space="preserve">H07RN-F 2x 1.5mm²</t>
  </si>
  <si>
    <t xml:space="preserve">H07RN-F 2x 2.5mm²</t>
  </si>
  <si>
    <t xml:space="preserve">H07RN-F 2x 4.0mm²</t>
  </si>
  <si>
    <t xml:space="preserve">H07RN-F 2x 6.0mm²</t>
  </si>
  <si>
    <t xml:space="preserve">H07RN-F 2x 10mm²</t>
  </si>
  <si>
    <t xml:space="preserve">H07RN-F 2x 16mm²</t>
  </si>
  <si>
    <t xml:space="preserve">H07RN-F 3x 1.0mm²</t>
  </si>
  <si>
    <t xml:space="preserve">H07RN-F 3x 1.5mm²</t>
  </si>
  <si>
    <t xml:space="preserve">H07RN-F 3x 4.0mm²</t>
  </si>
  <si>
    <t xml:space="preserve">H07RN-F 3x 6.0mm²</t>
  </si>
  <si>
    <t xml:space="preserve">H07RN-F 3x 10mm²</t>
  </si>
  <si>
    <t xml:space="preserve">H07RN-F 3x 16mm²</t>
  </si>
  <si>
    <t xml:space="preserve">H07RN-F 4x 1.0mm²</t>
  </si>
  <si>
    <t xml:space="preserve">H07RN-F 4x 1.5mm²</t>
  </si>
  <si>
    <t xml:space="preserve">H07RN-F 4x 4.0mm²</t>
  </si>
  <si>
    <t xml:space="preserve">H07RN-F 4x 6.0mm²</t>
  </si>
  <si>
    <t xml:space="preserve">H07RN-F 4x 10mm²</t>
  </si>
  <si>
    <t xml:space="preserve">H07RN-F 4x 16mm²</t>
  </si>
  <si>
    <t xml:space="preserve">H07RN-F 5x 1.5mm²</t>
  </si>
  <si>
    <t xml:space="preserve">H07RN-F 5x 2.5mm²</t>
  </si>
  <si>
    <t xml:space="preserve">H07RN-F 5x 4.0mm²</t>
  </si>
  <si>
    <t xml:space="preserve">H07RN-F 5x 6.0mm²</t>
  </si>
  <si>
    <t xml:space="preserve">H07RN-F 5x 10mm²</t>
  </si>
  <si>
    <t xml:space="preserve">H07RN-F 5x 16mm²</t>
  </si>
  <si>
    <t xml:space="preserve">H07RN-F 5x 25mm²</t>
  </si>
  <si>
    <t xml:space="preserve">H07RN-F 5x 35mm²</t>
  </si>
  <si>
    <t xml:space="preserve">H07RN-F 5x 50mm²</t>
  </si>
  <si>
    <t xml:space="preserve">CM 6.35 x 18.91 1 Fall</t>
  </si>
  <si>
    <t xml:space="preserve">CM 7.92 x 21.80 2 Fall</t>
  </si>
  <si>
    <t xml:space="preserve">CM 10.0 x 30.00 1 Fall</t>
  </si>
  <si>
    <t xml:space="preserve">Wire rope sling 8mm 822 Kg SWL EN13414-1:2003</t>
  </si>
  <si>
    <t xml:space="preserve">Wire rope sling 13mm 2,160 Kg SWL EN13414-1:2003</t>
  </si>
  <si>
    <t xml:space="preserve">Wire rope sling 16mm 3.280 Kg SWL EN13414-1:2003</t>
  </si>
  <si>
    <t xml:space="preserve">CM Stac Chain 13mm 5.42t EN818-2</t>
  </si>
  <si>
    <t xml:space="preserve">Crosby S-209T Theatrical Shackle 1t</t>
  </si>
  <si>
    <t xml:space="preserve">each</t>
  </si>
  <si>
    <t xml:space="preserve">Crosby S-209T Theatrical Shackle 1½t</t>
  </si>
  <si>
    <t xml:space="preserve">Crosby S-209T Theatrical Shackle 2t</t>
  </si>
  <si>
    <t xml:space="preserve">Crosby S-209T Theatrical Shackle 4¾t</t>
  </si>
  <si>
    <t xml:space="preserve">Crosby 209 Carbon Screw Pin Anchor Shackle 1t</t>
  </si>
  <si>
    <t xml:space="preserve">Crosby 209 Carbon Screw Pin Anchor Shackle 1½t</t>
  </si>
  <si>
    <t xml:space="preserve">Crosby 209 Carbon Screw Pin Anchor Shackle 2t</t>
  </si>
  <si>
    <t xml:space="preserve">Crosby 209 Carbon Screw Pin Anchor Shackle 3¼t</t>
  </si>
  <si>
    <t xml:space="preserve">Crosby 209 Carbon Screw Pin Anchor Shackle 4¾t</t>
  </si>
  <si>
    <t xml:space="preserve">Crosby 209 Carbon Screw Pin Anchor Shackle 6½t</t>
  </si>
  <si>
    <t xml:space="preserve">Crosby 209 Carbon Screw Pin Anchor Shackle 8½t</t>
  </si>
  <si>
    <t xml:space="preserve">Crosby 209 Carbon Screw Pin Anchor Shackle 9½t</t>
  </si>
  <si>
    <t xml:space="preserve">Crosby 210 Carbon Screw Pin Chain Shackle 1t</t>
  </si>
  <si>
    <t xml:space="preserve">Crosby 210 Carbon Screw Pin Chain Shackle 1½t</t>
  </si>
  <si>
    <t xml:space="preserve">Crosby 210 Carbon Screw Pin Chain Shackle 2t</t>
  </si>
  <si>
    <t xml:space="preserve">Crosby 210 Carbon Screw Pin Chain Shackle 3¼t</t>
  </si>
  <si>
    <t xml:space="preserve">Crosby 210 Carbon Screw Pin Chain Shackle 4¾t</t>
  </si>
  <si>
    <t xml:space="preserve">Crosby 210 Carbon Screw Pin Chain Shackle 6½t</t>
  </si>
  <si>
    <t xml:space="preserve">Crosby 210 Carbon Screw Pin Chain Shackle 8½t</t>
  </si>
  <si>
    <t xml:space="preserve">Crosby 210 Carbon Screw Pin Chain Shackle 9½t</t>
  </si>
  <si>
    <t xml:space="preserve">L-Acoustics KARA</t>
  </si>
  <si>
    <t xml:space="preserve">L-Acoustics KARA-MINIBU</t>
  </si>
  <si>
    <t xml:space="preserve">L-Acoustics KARA-MINIBUEX</t>
  </si>
  <si>
    <t xml:space="preserve">L-Acoustics KARA-PULLBACK</t>
  </si>
  <si>
    <t xml:space="preserve">L-Acoustics KARADOWNK1</t>
  </si>
  <si>
    <t xml:space="preserve">L-Acoustics KARADOWNK2</t>
  </si>
  <si>
    <t xml:space="preserve">L-Acoustics KARADOWNK3</t>
  </si>
  <si>
    <t xml:space="preserve">L-Acoustics K1</t>
  </si>
  <si>
    <t xml:space="preserve">L-Acoustics K2</t>
  </si>
  <si>
    <t xml:space="preserve">L-Acoustics K3</t>
  </si>
  <si>
    <t xml:space="preserve">L-Acoustics SB18</t>
  </si>
  <si>
    <t xml:space="preserve">L-Acoustics SB28</t>
  </si>
  <si>
    <t xml:space="preserve">L-Acoustics KS21</t>
  </si>
  <si>
    <t xml:space="preserve">L-Acoustics KS28</t>
  </si>
  <si>
    <t xml:space="preserve">Klotz L-ACOUSTICS DOSUB</t>
  </si>
  <si>
    <t xml:space="preserve">Klotz L-ACOUSTICS DOW3FILL</t>
  </si>
  <si>
    <t xml:space="preserve">Lodestar D8 F 250 Kg 1 Fall 6.35 x 18.91</t>
  </si>
  <si>
    <t xml:space="preserve">Lodestar D8 J 500 Kg 1 Fall 7.92 x 21.80</t>
  </si>
  <si>
    <t xml:space="preserve">Lodestar D8 JJ 500 Kg 1 Fall 7.92 x 21.80</t>
  </si>
  <si>
    <t xml:space="preserve">Lodestar D8 L 1000 Kg 1 Fall 7.92 x 21.80</t>
  </si>
  <si>
    <t xml:space="preserve">Lodestar D8 R 2000 Kg 2 Fall 7.92 x 21.80</t>
  </si>
  <si>
    <t xml:space="preserve">Lodestar D8 RR 2000 Kg 2 Fall 7.92 x 21.80</t>
  </si>
  <si>
    <t xml:space="preserve">Lodestar D8+ F 250 Kg 1 Fall 6.35 x 18.91</t>
  </si>
  <si>
    <t xml:space="preserve">Lodestar D8+ JJ 500 Kg 1 Fall 7.92 x 21.80</t>
  </si>
  <si>
    <t xml:space="preserve">Lodestar D8+ L 650 Kg 1 Fall 7.92 x 21.80</t>
  </si>
  <si>
    <t xml:space="preserve">Lodestar D8+ LL 500 Kg 1 Fall 7.92 x 21.80</t>
  </si>
  <si>
    <t xml:space="preserve">Lodestar D8+ R 1,300 Kg 2 Fall 7.92 x 21.80</t>
  </si>
  <si>
    <t xml:space="preserve">Lodestar D8+ RR 1,000 Kg 2 Fall 7.92 x 21.80</t>
  </si>
  <si>
    <t xml:space="preserve">Lodestar D8+ RRS 1,000 Kg 1 Fall 10.0 x 30.00</t>
  </si>
  <si>
    <t xml:space="preserve">Grade 80 Masterlink ML/A13 1.68t WLL</t>
  </si>
  <si>
    <t xml:space="preserve">Grade 80 Masterlink ML/A18 3.3t WLL</t>
  </si>
  <si>
    <t xml:space="preserve">Grade 80 Masterlink ML/A22 5.65t WLL</t>
  </si>
  <si>
    <t xml:space="preserve">Grade 80 Masterlink ML/A26 8.4t WLL</t>
  </si>
  <si>
    <t xml:space="preserve">Grade 80 Masterlink ML/A32 12.5t WLL</t>
  </si>
  <si>
    <t xml:space="preserve">Soft Steel BGV-C1 2t SWL 1.0mtr Circ 0.5mtr EWL</t>
  </si>
  <si>
    <t xml:space="preserve">Soft Steel BGV-C1 2t SWL 2.0mtr Circ 1.0mtr EWL</t>
  </si>
  <si>
    <t xml:space="preserve">Soft Steel BGV-C1 2t SWL 3.0mtr Circ 1.5mtr EWL</t>
  </si>
  <si>
    <t xml:space="preserve">Soft Steel BGV-C1 2t SWL 4.0mtr Circ 2.0mtr EWL</t>
  </si>
  <si>
    <t xml:space="preserve">Soft Steel BGV-C1 2t SWL 6.0mtr Circ 3.0mtr EWL</t>
  </si>
  <si>
    <t xml:space="preserve">Roundsling 1t EN1492-2:2000 1.0mtr Circ 0.5mtr EWL</t>
  </si>
  <si>
    <t xml:space="preserve">Roundsling 1t EN1492-2:2000 2.0mtr Circ 1.0mtr EWL</t>
  </si>
  <si>
    <t xml:space="preserve">Roundsling 1t EN1492-2:2000 3.0mtr Circ 1.5mtr EWL</t>
  </si>
  <si>
    <t xml:space="preserve">Roundsling 1t EN1492-2:2000 4.0mtr Circ 2.0mtr EWL</t>
  </si>
  <si>
    <t xml:space="preserve">Roundsling 1t EN1492-2:2000 5.0mtr Circ 2.5mtr EWL</t>
  </si>
  <si>
    <t xml:space="preserve">Roundsling 1t EN1492-2:2000 6.0mtr Circ 3.0mtr EWL</t>
  </si>
  <si>
    <t xml:space="preserve">Roundsling 1t EN1492-2:2000 7.0mtr Circ 3.5mtr EWL</t>
  </si>
  <si>
    <t xml:space="preserve">Roundsling 1t EN1492-2:2000 8.0mtr Circ 4.0mtr EWL</t>
  </si>
  <si>
    <t xml:space="preserve">Roundsling 1t EN1492-2:2000 9.0mtr Circ 4.5mtr EWL</t>
  </si>
  <si>
    <t xml:space="preserve">Roundsling 1t EN1492-2:2000 10mtr Circ 5.0mtr EWL</t>
  </si>
  <si>
    <t xml:space="preserve">Roundsling 2t EN1492-2:2000 2.0mtr Circ 1.0mtr EWL</t>
  </si>
  <si>
    <t xml:space="preserve">Roundsling 2t EN1492-2:2000 3.0mtr Circ 1.5mtr EWL</t>
  </si>
  <si>
    <t xml:space="preserve">Roundsling 2t EN1492-2:2000 4.0mtr Circ 2.0mtr EWL</t>
  </si>
  <si>
    <t xml:space="preserve">Roundsling 2t EN1492-2:2000 5.0mtr Circ 2.5mtr EWL</t>
  </si>
  <si>
    <t xml:space="preserve">Roundsling 2t EN1492-2:2000 6.0mtr Circ 3.0mtr EWL</t>
  </si>
  <si>
    <t xml:space="preserve">Roundsling 2t EN1492-2:2000 7.0mtr Circ 3.5mtr EWL</t>
  </si>
  <si>
    <t xml:space="preserve">Roundsling 2t EN1492-2:2000 8.0mtr Circ 4.0mtr EWL</t>
  </si>
  <si>
    <t xml:space="preserve">Roundsling 2t EN1492-2:2000 9.0mtr Circ 4.5mtr EWL</t>
  </si>
  <si>
    <t xml:space="preserve">Roundsling 2t EN1492-2:2000 10mtr Circ 5.0mtr EWL</t>
  </si>
  <si>
    <t xml:space="preserve">PCE Midnight IP44 Shark 16A Plug 4 Pole</t>
  </si>
  <si>
    <t xml:space="preserve">PCE Midnight IP44 Shark 16A Plug 5 Pole</t>
  </si>
  <si>
    <t xml:space="preserve">PCE Midnight IP44 Shark 32A Plug 3 Pole</t>
  </si>
  <si>
    <t xml:space="preserve">PCE Midnight IP44 Shark 32A Plug 4 Pole</t>
  </si>
  <si>
    <t xml:space="preserve">PCE Midnight IP44 Shark 32A Plug 5 Pole</t>
  </si>
  <si>
    <t xml:space="preserve">PCE Midnight IP44 Shark TT 16A Plug 3 Pole</t>
  </si>
  <si>
    <t xml:space="preserve">PCE Midnight IP44 Shark TT 16A Plug 4 Pole</t>
  </si>
  <si>
    <t xml:space="preserve">PCE Midnight IP44 Shark TT 16A Plug 5 Pole</t>
  </si>
  <si>
    <t xml:space="preserve">PCE Midnight IP44 Shark TT 32A Plug 3 Pole</t>
  </si>
  <si>
    <t xml:space="preserve">PCE Midnight IP44 Shark TT 32A Plug 4 Pole</t>
  </si>
  <si>
    <t xml:space="preserve">PCE Midnight IP44 Shark TT 32A Plug 5 Pole</t>
  </si>
  <si>
    <t xml:space="preserve">PCE Midnight IP67 Power Twist 63A Plug 3 Pole</t>
  </si>
  <si>
    <t xml:space="preserve">PCE Midnight IP67 Power Twist 63A Plug 4 Pole</t>
  </si>
  <si>
    <t xml:space="preserve">PCE Midnight IP67 Power Twist 63A Plug 5 Pole</t>
  </si>
  <si>
    <t xml:space="preserve">PCE Midnight IP67 Power Twist 125A Plug 3 Pole</t>
  </si>
  <si>
    <t xml:space="preserve">PCE Midnight IP67 Power Twist 125A Plug 4 Pole</t>
  </si>
  <si>
    <t xml:space="preserve">PCE Midnight IP67 Power Twist 125A Plug 5 Pole</t>
  </si>
  <si>
    <t xml:space="preserve">PCE Midnight IP44 Shark 16A Socket 3 Pole</t>
  </si>
  <si>
    <t xml:space="preserve">PCE Midnight IP44 Shark 16A Socket 5 Pole</t>
  </si>
  <si>
    <t xml:space="preserve">PCE Midnight IP44 Shark 32A Socket 3 Pole</t>
  </si>
  <si>
    <t xml:space="preserve">PCE Midnight IP44 Shark 32A Socket 4 Pole</t>
  </si>
  <si>
    <t xml:space="preserve">PCE Midnight IP44 Shark 32A Socket 5 Pole</t>
  </si>
  <si>
    <t xml:space="preserve">PCE Midnight IP44 Shark TT 16A Socket 3 Pole</t>
  </si>
  <si>
    <t xml:space="preserve">PCE Midnight IP44 Shark TT 16A Socket 4 Pole</t>
  </si>
  <si>
    <t xml:space="preserve">PCE Midnight IP44 Shark TT 16A Socket 5 Pole</t>
  </si>
  <si>
    <t xml:space="preserve">PCE Midnight IP44 Shark TT 32A Socket 3 Pole</t>
  </si>
  <si>
    <t xml:space="preserve">PCE Midnight IP44 Shark TT 32A Socket 4 Pole</t>
  </si>
  <si>
    <t xml:space="preserve">PCE Midnight IP44 Shark TT 32A Socket 5 Pole</t>
  </si>
  <si>
    <t xml:space="preserve">PCE Midnight IP67 Power Twist 63A Socket 3 Pole</t>
  </si>
  <si>
    <t xml:space="preserve">PCE Midnight IP67 Power Twist 63A Socket 4 Pole</t>
  </si>
  <si>
    <t xml:space="preserve">PCE Midnight IP67 Power Twist 63A Socket 5 Pole</t>
  </si>
  <si>
    <t xml:space="preserve">PCE Midnight IP67 Power Twist 125A Socket 3 Pole</t>
  </si>
  <si>
    <t xml:space="preserve">PCE Midnight IP67 Power Twist 125A Socket 4 Pole</t>
  </si>
  <si>
    <t xml:space="preserve">PCE Midnight IP67 Power Twist 125A Socket 5 Pole</t>
  </si>
  <si>
    <t xml:space="preserve">Klotz D&amp;B PA-COM 25p. M and 6x NLT4M</t>
  </si>
  <si>
    <t xml:space="preserve">Klotz D&amp;B PA-COM 25p. M and 12x NLT4M</t>
  </si>
  <si>
    <t xml:space="preserve">FLOWN ARRAY LOAD SHEET</t>
  </si>
  <si>
    <t xml:space="preserve">Static load-path analysis – single hang</t>
  </si>
  <si>
    <t xml:space="preserve">Job:</t>
  </si>
  <si>
    <t xml:space="preserve">Status:</t>
  </si>
  <si>
    <t xml:space="preserve">Venue:</t>
  </si>
  <si>
    <t xml:space="preserve">Revision:</t>
  </si>
  <si>
    <t xml:space="preserve">Sub System:</t>
  </si>
  <si>
    <t xml:space="preserve">Job Date:</t>
  </si>
  <si>
    <t xml:space="preserve">Point ID / Location:</t>
  </si>
  <si>
    <t xml:space="preserve">Designer:</t>
  </si>
  <si>
    <t xml:space="preserve">Hoist orientation:</t>
  </si>
  <si>
    <t xml:space="preserve">Sheet Date:</t>
  </si>
  <si>
    <t xml:space="preserve">Weight</t>
  </si>
  <si>
    <t xml:space="preserve">CONNECTION POINT</t>
  </si>
  <si>
    <t xml:space="preserve">Static load – UNFACTORED</t>
  </si>
  <si>
    <t xml:space="preserve">(figure for structural assessment / approval)</t>
  </si>
  <si>
    <t xml:space="preserve">Contingency – unlisted items</t>
  </si>
  <si>
    <t xml:space="preserve">(rigging capacity check)</t>
  </si>
  <si>
    <t xml:space="preserve">Point capacity:</t>
  </si>
  <si>
    <t xml:space="preserve">CAPACITY SUMMARY</t>
  </si>
  <si>
    <t xml:space="preserve">(each component checked against the load it carries)</t>
  </si>
  <si>
    <t xml:space="preserve">Carried load</t>
  </si>
  <si>
    <t xml:space="preserve">Data check:</t>
  </si>
  <si>
    <t xml:space="preserve">Top rigging:</t>
  </si>
  <si>
    <t xml:space="preserve">Hoist:</t>
  </si>
  <si>
    <t xml:space="preserve">Analyses the load paths of ONE hang. Each rated component is checked against the load it carries. Top rigging carries everything; the hoist carries the hook load (body up) or its own zone plus the hook load (body down); the hook/junction carries both paths; each path component carries the items listed below it. This is a load list, not a rigging design: bridle geometry, sling angles, load transfer between points and the venue structure are not assessed.</t>
  </si>
  <si>
    <t xml:space="preserve">Unless stated as included above, components above the hoist – beam clamps, steels, slings to structure and the structure itself – are NOT listed and NOT checked. The head rigger must verify the complete load path above the hoist.</t>
  </si>
  <si>
    <t xml:space="preserve">MULTI-POINT</t>
  </si>
  <si>
    <t xml:space="preserve">Weights and SWL/WLL figures are taken from the Spec library in this workbook and are indicative only. Verify against current manufacturer data and the certification of the actual equipment before use. TBC items have no recorded weight and are excluded from totals. Where several rated items share a zone or quantity is greater than 1, each is checked against the full load below it. Unrated items are not checked.</t>
  </si>
  <si>
    <t xml:space="preserve">Static weights only. No dynamic, shock or snatch allowance is included; snatch loading, slack-chain pick-up and hoist stall must be prevented by procedure. The contingency covers unlisted items and measurement error only. 1t = 1,000 kg.</t>
  </si>
  <si>
    <t xml:space="preserve">Prepared by:</t>
  </si>
  <si>
    <t xml:space="preserve">Signature:</t>
  </si>
  <si>
    <t xml:space="preserve">Date:</t>
  </si>
  <si>
    <t xml:space="preserve">Checked by:</t>
  </si>
</sst>
</file>

<file path=xl/styles.xml><?xml version="1.0" encoding="utf-8"?>
<styleSheet xmlns="http://schemas.openxmlformats.org/spreadsheetml/2006/main">
  <numFmts count="9">
    <numFmt numFmtId="164" formatCode="General"/>
    <numFmt numFmtId="165" formatCode="dd/mm/yyyy"/>
    <numFmt numFmtId="166" formatCode="#,##0.00&quot; Kg&quot;"/>
    <numFmt numFmtId="167" formatCode="#,##0&quot; Kg&quot;"/>
    <numFmt numFmtId="168" formatCode="0.0%"/>
    <numFmt numFmtId="169" formatCode="0%"/>
    <numFmt numFmtId="170" formatCode="#,##0.00&quot; Kg&quot;"/>
    <numFmt numFmtId="171" formatCode="#,##0&quot; Kg SWL&quot;"/>
    <numFmt numFmtId="172" formatCode="General"/>
  </numFmts>
  <fonts count="20">
    <font>
      <sz val="11"/>
      <color theme="1"/>
      <name val="Calibri"/>
      <family val="2"/>
      <charset val="1"/>
    </font>
    <font>
      <sz val="10"/>
      <name val="Arial"/>
      <family val="0"/>
    </font>
    <font>
      <sz val="10"/>
      <name val="Arial"/>
      <family val="0"/>
    </font>
    <font>
      <sz val="10"/>
      <name val="Arial"/>
      <family val="0"/>
    </font>
    <font>
      <b val="true"/>
      <sz val="10"/>
      <name val="Calibri"/>
      <family val="0"/>
      <charset val="1"/>
    </font>
    <font>
      <sz val="11"/>
      <name val="Calibri"/>
      <family val="0"/>
      <charset val="1"/>
    </font>
    <font>
      <b val="true"/>
      <sz val="11"/>
      <name val="Calibri"/>
      <family val="0"/>
      <charset val="1"/>
    </font>
    <font>
      <i val="true"/>
      <sz val="9"/>
      <color rgb="FF555555"/>
      <name val="Calibri"/>
      <family val="0"/>
      <charset val="1"/>
    </font>
    <font>
      <b val="true"/>
      <sz val="12"/>
      <name val="Calibri"/>
      <family val="0"/>
      <charset val="1"/>
    </font>
    <font>
      <b val="true"/>
      <sz val="14"/>
      <name val="Calibri"/>
      <family val="0"/>
      <charset val="1"/>
    </font>
    <font>
      <b val="true"/>
      <sz val="9"/>
      <color rgb="FF555555"/>
      <name val="Calibri"/>
      <family val="0"/>
      <charset val="1"/>
    </font>
    <font>
      <b val="true"/>
      <sz val="9"/>
      <color rgb="FF9C0006"/>
      <name val="Calibri"/>
      <family val="0"/>
      <charset val="1"/>
    </font>
    <font>
      <sz val="10"/>
      <name val="Arial"/>
      <family val="2"/>
    </font>
    <font>
      <b val="true"/>
      <sz val="16"/>
      <name val="Calibri"/>
      <family val="0"/>
      <charset val="1"/>
    </font>
    <font>
      <i val="true"/>
      <sz val="8"/>
      <color rgb="FF555555"/>
      <name val="Calibri"/>
      <family val="0"/>
      <charset val="1"/>
    </font>
    <font>
      <b val="true"/>
      <sz val="8"/>
      <name val="Calibri"/>
      <family val="0"/>
      <charset val="1"/>
    </font>
    <font>
      <sz val="8"/>
      <name val="Calibri"/>
      <family val="0"/>
      <charset val="1"/>
    </font>
    <font>
      <b val="true"/>
      <sz val="6.5"/>
      <color rgb="FF555555"/>
      <name val="Calibri"/>
      <family val="0"/>
      <charset val="1"/>
    </font>
    <font>
      <sz val="6.5"/>
      <color rgb="FF555555"/>
      <name val="Calibri"/>
      <family val="0"/>
      <charset val="1"/>
    </font>
    <font>
      <b val="true"/>
      <sz val="6.5"/>
      <color rgb="FF9C0006"/>
      <name val="Calibri"/>
      <family val="0"/>
      <charset val="1"/>
    </font>
  </fonts>
  <fills count="6">
    <fill>
      <patternFill patternType="none"/>
    </fill>
    <fill>
      <patternFill patternType="gray125"/>
    </fill>
    <fill>
      <patternFill patternType="solid">
        <fgColor rgb="FFFFF6D9"/>
        <bgColor rgb="FFE2EFDA"/>
      </patternFill>
    </fill>
    <fill>
      <patternFill patternType="solid">
        <fgColor rgb="FFD9E1F2"/>
        <bgColor rgb="FFEDE3F2"/>
      </patternFill>
    </fill>
    <fill>
      <patternFill patternType="solid">
        <fgColor rgb="FFE2EFDA"/>
        <bgColor rgb="FFEDE3F2"/>
      </patternFill>
    </fill>
    <fill>
      <patternFill patternType="solid">
        <fgColor rgb="FFEDE3F2"/>
        <bgColor rgb="FFD9E1F2"/>
      </patternFill>
    </fill>
  </fills>
  <borders count="5">
    <border diagonalUp="false" diagonalDown="false">
      <left/>
      <right/>
      <top/>
      <bottom/>
      <diagonal/>
    </border>
    <border diagonalUp="false" diagonalDown="false">
      <left style="thin">
        <color rgb="FF999999"/>
      </left>
      <right style="thin">
        <color rgb="FF999999"/>
      </right>
      <top style="thin">
        <color rgb="FF999999"/>
      </top>
      <bottom style="thin">
        <color rgb="FF999999"/>
      </bottom>
      <diagonal/>
    </border>
    <border diagonalUp="false" diagonalDown="false">
      <left/>
      <right/>
      <top/>
      <bottom style="thin">
        <color rgb="FF999999"/>
      </bottom>
      <diagonal/>
    </border>
    <border diagonalUp="false" diagonalDown="false">
      <left/>
      <right/>
      <top style="medium">
        <color rgb="FF333333"/>
      </top>
      <bottom/>
      <diagonal/>
    </border>
    <border diagonalUp="false" diagonalDown="false">
      <left/>
      <right/>
      <top style="thin">
        <color rgb="FF999999"/>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78">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2" borderId="1" xfId="0" applyFont="true" applyBorder="true" applyAlignment="false" applyProtection="false">
      <alignment horizontal="general" vertical="bottom" textRotation="0" wrapText="false" indent="0" shrinkToFit="false"/>
      <protection locked="true" hidden="false"/>
    </xf>
    <xf numFmtId="165" fontId="5" fillId="2" borderId="1" xfId="0" applyFont="true" applyBorder="true" applyAlignment="false" applyProtection="false">
      <alignment horizontal="general" vertical="bottom" textRotation="0" wrapText="false" indent="0" shrinkToFit="false"/>
      <protection locked="true" hidden="false"/>
    </xf>
    <xf numFmtId="164" fontId="6" fillId="3" borderId="1" xfId="0" applyFont="true" applyBorder="true" applyAlignment="true" applyProtection="false">
      <alignment horizontal="center" vertical="center" textRotation="0" wrapText="true" indent="0" shrinkToFit="false"/>
      <protection locked="true" hidden="false"/>
    </xf>
    <xf numFmtId="164" fontId="6" fillId="4" borderId="1" xfId="0" applyFont="true" applyBorder="true" applyAlignment="false" applyProtection="false">
      <alignment horizontal="general" vertical="bottom" textRotation="0" wrapText="false" indent="0" shrinkToFit="false"/>
      <protection locked="true" hidden="false"/>
    </xf>
    <xf numFmtId="164" fontId="0" fillId="4" borderId="1" xfId="0" applyFont="false" applyBorder="true" applyAlignment="false" applyProtection="false">
      <alignment horizontal="general" vertical="bottom" textRotation="0" wrapText="false" indent="0" shrinkToFit="false"/>
      <protection locked="true" hidden="false"/>
    </xf>
    <xf numFmtId="164" fontId="7" fillId="4" borderId="1" xfId="0" applyFont="true" applyBorder="true" applyAlignment="false" applyProtection="false">
      <alignment horizontal="general" vertical="bottom" textRotation="0" wrapText="false" indent="0" shrinkToFit="false"/>
      <protection locked="true" hidden="false"/>
    </xf>
    <xf numFmtId="166" fontId="6" fillId="4" borderId="1" xfId="0" applyFont="true" applyBorder="tru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false" indent="0" shrinkToFit="false"/>
      <protection locked="true" hidden="false"/>
    </xf>
    <xf numFmtId="164" fontId="0" fillId="2" borderId="0" xfId="0" applyFont="true" applyBorder="false" applyAlignment="false" applyProtection="false">
      <alignment horizontal="general" vertical="bottom" textRotation="0" wrapText="false" indent="0" shrinkToFit="false"/>
      <protection locked="true" hidden="false"/>
    </xf>
    <xf numFmtId="166" fontId="0" fillId="0" borderId="0" xfId="0" applyFont="false" applyBorder="false" applyAlignment="false" applyProtection="false">
      <alignment horizontal="general" vertical="bottom" textRotation="0" wrapText="false" indent="0" shrinkToFit="false"/>
      <protection locked="true" hidden="false"/>
    </xf>
    <xf numFmtId="164" fontId="0" fillId="2" borderId="0" xfId="0" applyFont="false" applyBorder="false" applyAlignment="false" applyProtection="false">
      <alignment horizontal="general" vertical="bottom" textRotation="0" wrapText="false" indent="0" shrinkToFit="false"/>
      <protection locked="true" hidden="false"/>
    </xf>
    <xf numFmtId="167" fontId="0" fillId="0" borderId="0" xfId="0" applyFont="false" applyBorder="false" applyAlignment="false" applyProtection="false">
      <alignment horizontal="general" vertical="bottom" textRotation="0" wrapText="false" indent="0" shrinkToFit="false"/>
      <protection locked="true" hidden="false"/>
    </xf>
    <xf numFmtId="168" fontId="0" fillId="0" borderId="0" xfId="0" applyFont="false" applyBorder="false" applyAlignment="true" applyProtection="false">
      <alignment horizontal="center"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6" fontId="8" fillId="0" borderId="1" xfId="0" applyFont="true" applyBorder="tru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8" fillId="5" borderId="1" xfId="0" applyFont="true" applyBorder="true" applyAlignment="false" applyProtection="false">
      <alignment horizontal="general" vertical="bottom" textRotation="0" wrapText="false" indent="0" shrinkToFit="false"/>
      <protection locked="true" hidden="false"/>
    </xf>
    <xf numFmtId="164" fontId="0" fillId="5" borderId="1" xfId="0" applyFont="false" applyBorder="true" applyAlignment="false" applyProtection="false">
      <alignment horizontal="general" vertical="bottom" textRotation="0" wrapText="false" indent="0" shrinkToFit="false"/>
      <protection locked="true" hidden="false"/>
    </xf>
    <xf numFmtId="169" fontId="0" fillId="2" borderId="1" xfId="0" applyFont="false" applyBorder="true" applyAlignment="true" applyProtection="false">
      <alignment horizontal="center"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7" fontId="0" fillId="2" borderId="1" xfId="0" applyFont="false" applyBorder="true" applyAlignment="false" applyProtection="false">
      <alignment horizontal="general" vertical="bottom" textRotation="0" wrapText="false" indent="0" shrinkToFit="false"/>
      <protection locked="true" hidden="false"/>
    </xf>
    <xf numFmtId="164" fontId="0" fillId="2" borderId="1" xfId="0" applyFont="false" applyBorder="true" applyAlignment="false" applyProtection="false">
      <alignment horizontal="general" vertical="bottom" textRotation="0" wrapText="false" indent="0" shrinkToFit="false"/>
      <protection locked="true" hidden="false"/>
    </xf>
    <xf numFmtId="164" fontId="0" fillId="2" borderId="1" xfId="0" applyFont="true" applyBorder="true" applyAlignment="false" applyProtection="false">
      <alignment horizontal="general" vertical="bottom" textRotation="0" wrapText="false" indent="0" shrinkToFit="false"/>
      <protection locked="true" hidden="false"/>
    </xf>
    <xf numFmtId="164" fontId="8" fillId="3" borderId="1" xfId="0" applyFont="true" applyBorder="true" applyAlignment="false" applyProtection="false">
      <alignment horizontal="general" vertical="bottom" textRotation="0" wrapText="false" indent="0" shrinkToFit="false"/>
      <protection locked="true" hidden="false"/>
    </xf>
    <xf numFmtId="164" fontId="0" fillId="3" borderId="1" xfId="0" applyFont="false" applyBorder="tru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left" vertical="bottom" textRotation="0" wrapText="true" indent="0" shrinkToFit="false"/>
      <protection locked="true" hidden="false"/>
    </xf>
    <xf numFmtId="164" fontId="4" fillId="0" borderId="0" xfId="0" applyFont="true" applyBorder="false" applyAlignment="true" applyProtection="false">
      <alignment horizontal="center" vertical="bottom" textRotation="0" wrapText="true" indent="0" shrinkToFit="false"/>
      <protection locked="true" hidden="false"/>
    </xf>
    <xf numFmtId="164" fontId="4" fillId="0" borderId="1" xfId="0" applyFont="true" applyBorder="true" applyAlignment="false" applyProtection="false">
      <alignment horizontal="general" vertical="bottom" textRotation="0" wrapText="false" indent="0" shrinkToFit="false"/>
      <protection locked="true" hidden="false"/>
    </xf>
    <xf numFmtId="164" fontId="0" fillId="0" borderId="1" xfId="0" applyFont="false" applyBorder="true" applyAlignment="false" applyProtection="false">
      <alignment horizontal="general" vertical="bottom" textRotation="0" wrapText="false" indent="0" shrinkToFit="false"/>
      <protection locked="true" hidden="false"/>
    </xf>
    <xf numFmtId="167" fontId="0" fillId="0" borderId="1" xfId="0" applyFont="false" applyBorder="true" applyAlignment="false" applyProtection="false">
      <alignment horizontal="general" vertical="bottom" textRotation="0" wrapText="false" indent="0" shrinkToFit="false"/>
      <protection locked="true" hidden="false"/>
    </xf>
    <xf numFmtId="166" fontId="0" fillId="0" borderId="1" xfId="0" applyFont="false" applyBorder="true" applyAlignment="false" applyProtection="false">
      <alignment horizontal="general" vertical="bottom" textRotation="0" wrapText="false" indent="0" shrinkToFit="false"/>
      <protection locked="true" hidden="false"/>
    </xf>
    <xf numFmtId="168" fontId="6" fillId="0" borderId="1" xfId="0" applyFont="true" applyBorder="true" applyAlignment="true" applyProtection="false">
      <alignment horizontal="center"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8" fontId="9" fillId="0" borderId="1" xfId="0" applyFont="true" applyBorder="true" applyAlignment="true" applyProtection="false">
      <alignment horizontal="center" vertical="bottom" textRotation="0" wrapText="fals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4" fontId="11" fillId="0" borderId="0" xfId="0" applyFont="true" applyBorder="false" applyAlignment="false" applyProtection="false">
      <alignment horizontal="general" vertical="bottom" textRotation="0" wrapText="false" indent="0" shrinkToFit="false"/>
      <protection locked="true" hidden="false"/>
    </xf>
    <xf numFmtId="170" fontId="0" fillId="0" borderId="0" xfId="0" applyFont="false" applyBorder="false" applyAlignment="true" applyProtection="false">
      <alignment horizontal="center" vertical="center" textRotation="0" wrapText="false" indent="0" shrinkToFit="false"/>
      <protection locked="true" hidden="false"/>
    </xf>
    <xf numFmtId="164" fontId="0" fillId="0" borderId="0" xfId="0" applyFont="false" applyBorder="false" applyAlignment="true" applyProtection="false">
      <alignment horizontal="center" vertical="center" textRotation="0" wrapText="false" indent="0" shrinkToFit="false"/>
      <protection locked="true" hidden="false"/>
    </xf>
    <xf numFmtId="171" fontId="0" fillId="0" borderId="0" xfId="0" applyFont="false" applyBorder="false" applyAlignment="true" applyProtection="false">
      <alignment horizontal="center" vertical="center" textRotation="0" wrapText="false" indent="0" shrinkToFit="false"/>
      <protection locked="true" hidden="false"/>
    </xf>
    <xf numFmtId="170" fontId="0" fillId="0" borderId="0" xfId="0" applyFont="true" applyBorder="false" applyAlignment="true" applyProtection="false">
      <alignment horizontal="center" vertical="center" textRotation="0" wrapText="false" indent="0" shrinkToFit="false"/>
      <protection locked="true" hidden="false"/>
    </xf>
    <xf numFmtId="164" fontId="0" fillId="0" borderId="0" xfId="0" applyFont="true" applyBorder="false" applyAlignment="true" applyProtection="false">
      <alignment horizontal="center" vertical="center" textRotation="0" wrapText="false" indent="0" shrinkToFit="false"/>
      <protection locked="true" hidden="false"/>
    </xf>
    <xf numFmtId="171" fontId="0" fillId="0" borderId="0" xfId="0" applyFont="true" applyBorder="false" applyAlignment="true" applyProtection="false">
      <alignment horizontal="center" vertical="center" textRotation="0" wrapText="false" indent="0" shrinkToFit="false"/>
      <protection locked="true" hidden="false"/>
    </xf>
    <xf numFmtId="164" fontId="13" fillId="0" borderId="0" xfId="0" applyFont="true" applyBorder="true" applyAlignment="true" applyProtection="false">
      <alignment horizontal="center" vertical="bottom" textRotation="0" wrapText="false" indent="0" shrinkToFit="false"/>
      <protection locked="true" hidden="false"/>
    </xf>
    <xf numFmtId="164" fontId="14" fillId="0" borderId="0" xfId="0" applyFont="true" applyBorder="true" applyAlignment="true" applyProtection="false">
      <alignment horizontal="center" vertical="bottom" textRotation="0" wrapText="false" indent="0" shrinkToFit="false"/>
      <protection locked="true" hidden="false"/>
    </xf>
    <xf numFmtId="164" fontId="15" fillId="0" borderId="0" xfId="0" applyFont="true" applyBorder="false" applyAlignment="false" applyProtection="false">
      <alignment horizontal="general" vertical="bottom" textRotation="0" wrapText="false" indent="0" shrinkToFit="false"/>
      <protection locked="true" hidden="false"/>
    </xf>
    <xf numFmtId="164" fontId="16" fillId="0" borderId="2" xfId="0" applyFont="true" applyBorder="true" applyAlignment="false" applyProtection="false">
      <alignment horizontal="general" vertical="bottom" textRotation="0" wrapText="false" indent="0" shrinkToFit="false"/>
      <protection locked="true" hidden="false"/>
    </xf>
    <xf numFmtId="164" fontId="15" fillId="0" borderId="0" xfId="0" applyFont="true" applyBorder="true" applyAlignment="true" applyProtection="false">
      <alignment horizontal="right" vertical="bottom" textRotation="0" wrapText="false" indent="0" shrinkToFit="false"/>
      <protection locked="true" hidden="false"/>
    </xf>
    <xf numFmtId="165" fontId="16" fillId="0" borderId="2" xfId="0" applyFont="true" applyBorder="true" applyAlignment="false" applyProtection="false">
      <alignment horizontal="general" vertical="bottom" textRotation="0" wrapText="false" indent="0" shrinkToFit="false"/>
      <protection locked="true" hidden="false"/>
    </xf>
    <xf numFmtId="164" fontId="15" fillId="0" borderId="2" xfId="0" applyFont="true" applyBorder="true" applyAlignment="false" applyProtection="false">
      <alignment horizontal="general" vertical="bottom" textRotation="0" wrapText="false" indent="0" shrinkToFit="false"/>
      <protection locked="true" hidden="false"/>
    </xf>
    <xf numFmtId="164" fontId="15" fillId="3" borderId="1" xfId="0" applyFont="true" applyBorder="true" applyAlignment="true" applyProtection="false">
      <alignment horizontal="center" vertical="center" textRotation="0" wrapText="true" indent="0" shrinkToFit="false"/>
      <protection locked="true" hidden="false"/>
    </xf>
    <xf numFmtId="164" fontId="15" fillId="4" borderId="1" xfId="0" applyFont="true" applyBorder="true" applyAlignment="false" applyProtection="false">
      <alignment horizontal="general" vertical="bottom" textRotation="0" wrapText="false" indent="0" shrinkToFit="false"/>
      <protection locked="true" hidden="false"/>
    </xf>
    <xf numFmtId="166" fontId="15" fillId="4" borderId="1" xfId="0" applyFont="true" applyBorder="true" applyAlignment="false" applyProtection="false">
      <alignment horizontal="general" vertical="bottom" textRotation="0" wrapText="false" indent="0" shrinkToFit="false"/>
      <protection locked="true" hidden="false"/>
    </xf>
    <xf numFmtId="164" fontId="16" fillId="0" borderId="1" xfId="0" applyFont="true" applyBorder="true" applyAlignment="false" applyProtection="false">
      <alignment horizontal="general" vertical="bottom" textRotation="0" wrapText="false" indent="0" shrinkToFit="false"/>
      <protection locked="true" hidden="false"/>
    </xf>
    <xf numFmtId="172" fontId="16" fillId="0" borderId="1" xfId="0" applyFont="true" applyBorder="true" applyAlignment="true" applyProtection="false">
      <alignment horizontal="center" vertical="bottom" textRotation="0" wrapText="false" indent="0" shrinkToFit="false"/>
      <protection locked="true" hidden="false"/>
    </xf>
    <xf numFmtId="166" fontId="16" fillId="0" borderId="1" xfId="0" applyFont="true" applyBorder="true" applyAlignment="false" applyProtection="false">
      <alignment horizontal="general" vertical="bottom" textRotation="0" wrapText="false" indent="0" shrinkToFit="false"/>
      <protection locked="true" hidden="false"/>
    </xf>
    <xf numFmtId="167" fontId="16" fillId="0" borderId="1" xfId="0" applyFont="true" applyBorder="true" applyAlignment="true" applyProtection="false">
      <alignment horizontal="center" vertical="bottom" textRotation="0" wrapText="false" indent="0" shrinkToFit="false"/>
      <protection locked="true" hidden="false"/>
    </xf>
    <xf numFmtId="168" fontId="16" fillId="0" borderId="1" xfId="0" applyFont="true" applyBorder="true" applyAlignment="true" applyProtection="false">
      <alignment horizontal="center" vertical="bottom" textRotation="0" wrapText="false" indent="0" shrinkToFit="false"/>
      <protection locked="true" hidden="false"/>
    </xf>
    <xf numFmtId="164" fontId="0" fillId="0" borderId="3" xfId="0" applyFont="false" applyBorder="true" applyAlignment="false" applyProtection="false">
      <alignment horizontal="general" vertical="bottom" textRotation="0" wrapText="false" indent="0" shrinkToFit="false"/>
      <protection locked="true" hidden="false"/>
    </xf>
    <xf numFmtId="164" fontId="4" fillId="0" borderId="3" xfId="0" applyFont="true" applyBorder="true" applyAlignment="false" applyProtection="false">
      <alignment horizontal="general" vertical="bottom" textRotation="0" wrapText="false" indent="0" shrinkToFit="false"/>
      <protection locked="true" hidden="false"/>
    </xf>
    <xf numFmtId="166" fontId="4" fillId="0" borderId="3" xfId="0" applyFont="true" applyBorder="true" applyAlignment="false" applyProtection="false">
      <alignment horizontal="general" vertical="bottom" textRotation="0" wrapText="false" indent="0" shrinkToFit="false"/>
      <protection locked="true" hidden="false"/>
    </xf>
    <xf numFmtId="164" fontId="14" fillId="0" borderId="0" xfId="0" applyFont="true" applyBorder="false" applyAlignment="false" applyProtection="false">
      <alignment horizontal="general" vertical="bottom" textRotation="0" wrapText="false" indent="0" shrinkToFit="false"/>
      <protection locked="true" hidden="false"/>
    </xf>
    <xf numFmtId="166" fontId="4" fillId="0" borderId="0" xfId="0" applyFont="true" applyBorder="false" applyAlignment="false" applyProtection="false">
      <alignment horizontal="general" vertical="bottom" textRotation="0" wrapText="false" indent="0" shrinkToFit="false"/>
      <protection locked="true" hidden="false"/>
    </xf>
    <xf numFmtId="169" fontId="16" fillId="0" borderId="0" xfId="0" applyFont="true" applyBorder="false" applyAlignment="true" applyProtection="false">
      <alignment horizontal="right" vertical="bottom" textRotation="0" wrapText="false" indent="0" shrinkToFit="false"/>
      <protection locked="true" hidden="false"/>
    </xf>
    <xf numFmtId="166" fontId="16" fillId="0" borderId="0" xfId="0" applyFont="true" applyBorder="false" applyAlignment="false" applyProtection="false">
      <alignment horizontal="general" vertical="bottom" textRotation="0" wrapText="false" indent="0" shrinkToFit="false"/>
      <protection locked="true" hidden="false"/>
    </xf>
    <xf numFmtId="166" fontId="4" fillId="0" borderId="4" xfId="0" applyFont="true" applyBorder="true" applyAlignment="false" applyProtection="false">
      <alignment horizontal="general" vertical="bottom" textRotation="0" wrapText="false" indent="0" shrinkToFit="false"/>
      <protection locked="true" hidden="false"/>
    </xf>
    <xf numFmtId="164" fontId="15" fillId="0" borderId="0" xfId="0" applyFont="true" applyBorder="true" applyAlignment="false" applyProtection="false">
      <alignment horizontal="general" vertical="bottom" textRotation="0" wrapText="false" indent="0" shrinkToFit="false"/>
      <protection locked="true" hidden="false"/>
    </xf>
    <xf numFmtId="164" fontId="15" fillId="3" borderId="1" xfId="0" applyFont="true" applyBorder="true" applyAlignment="true" applyProtection="false">
      <alignment horizontal="left" vertical="bottom" textRotation="0" wrapText="false" indent="0" shrinkToFit="false"/>
      <protection locked="true" hidden="false"/>
    </xf>
    <xf numFmtId="164" fontId="15" fillId="3" borderId="1" xfId="0" applyFont="true" applyBorder="true" applyAlignment="true" applyProtection="false">
      <alignment horizontal="center" vertical="bottom" textRotation="0" wrapText="false" indent="0" shrinkToFit="false"/>
      <protection locked="true" hidden="false"/>
    </xf>
    <xf numFmtId="164" fontId="15" fillId="0" borderId="1" xfId="0" applyFont="true" applyBorder="true" applyAlignment="false" applyProtection="false">
      <alignment horizontal="general" vertical="bottom" textRotation="0" wrapText="false" indent="0" shrinkToFit="false"/>
      <protection locked="true" hidden="false"/>
    </xf>
    <xf numFmtId="168" fontId="15" fillId="0" borderId="1" xfId="0" applyFont="true" applyBorder="true" applyAlignment="true" applyProtection="false">
      <alignment horizontal="center" vertical="bottom" textRotation="0" wrapText="false" indent="0" shrinkToFit="false"/>
      <protection locked="true" hidden="false"/>
    </xf>
    <xf numFmtId="164" fontId="16" fillId="0" borderId="0" xfId="0" applyFont="true" applyBorder="true" applyAlignment="false" applyProtection="false">
      <alignment horizontal="general" vertical="bottom" textRotation="0" wrapText="false" indent="0" shrinkToFit="false"/>
      <protection locked="true" hidden="false"/>
    </xf>
    <xf numFmtId="164" fontId="17" fillId="0" borderId="0" xfId="0" applyFont="true" applyBorder="false" applyAlignment="true" applyProtection="false">
      <alignment horizontal="general" vertical="top" textRotation="0" wrapText="false" indent="0" shrinkToFit="false"/>
      <protection locked="true" hidden="false"/>
    </xf>
    <xf numFmtId="164" fontId="18" fillId="0" borderId="0" xfId="0" applyFont="true" applyBorder="true" applyAlignment="true" applyProtection="false">
      <alignment horizontal="general" vertical="top" textRotation="0" wrapText="true" indent="0" shrinkToFit="false"/>
      <protection locked="true" hidden="false"/>
    </xf>
    <xf numFmtId="164" fontId="19" fillId="0" borderId="0" xfId="0" applyFont="true" applyBorder="false" applyAlignment="true" applyProtection="false">
      <alignment horizontal="general" vertical="top" textRotation="0" wrapText="false" indent="0" shrinkToFit="false"/>
      <protection locked="true" hidden="false"/>
    </xf>
    <xf numFmtId="164" fontId="0" fillId="0" borderId="2" xfId="0" applyFont="false" applyBorder="true" applyAlignment="false" applyProtection="false">
      <alignment horizontal="general" vertical="bottom" textRotation="0" wrapText="false" indent="0" shrinkToFit="false"/>
      <protection locked="true" hidden="false"/>
    </xf>
    <xf numFmtId="164" fontId="15" fillId="0" borderId="0" xfId="0" applyFont="true" applyBorder="false" applyAlignment="true" applyProtection="false">
      <alignment horizontal="right"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7">
    <dxf>
      <font>
        <b val="1"/>
        <color rgb="FF9C0006"/>
      </font>
      <fill>
        <patternFill>
          <bgColor rgb="FFFFC7CE"/>
        </patternFill>
      </fill>
    </dxf>
    <dxf>
      <fill>
        <patternFill>
          <bgColor rgb="FFFFEB9C"/>
        </patternFill>
      </fill>
    </dxf>
    <dxf>
      <fill>
        <patternFill>
          <bgColor rgb="FFC6EFCE"/>
        </patternFill>
      </fill>
    </dxf>
    <dxf>
      <fill>
        <patternFill>
          <bgColor rgb="FFFFC7CE"/>
        </patternFill>
      </fill>
    </dxf>
    <dxf>
      <fill>
        <patternFill patternType="solid">
          <bgColor rgb="FF000000"/>
        </patternFill>
      </fill>
    </dxf>
    <dxf>
      <fill>
        <patternFill patternType="solid">
          <fgColor rgb="FF000000"/>
          <bgColor rgb="FF000000"/>
        </patternFill>
      </fill>
    </dxf>
    <dxf>
      <font>
        <b val="1"/>
        <color rgb="FF9C0006"/>
      </font>
    </dxf>
  </dxfs>
  <colors>
    <indexedColors>
      <rgbColor rgb="FF000000"/>
      <rgbColor rgb="FFEDE3F2"/>
      <rgbColor rgb="FFFF0000"/>
      <rgbColor rgb="FF00FF00"/>
      <rgbColor rgb="FF0000FF"/>
      <rgbColor rgb="FFFFFF00"/>
      <rgbColor rgb="FFFF00FF"/>
      <rgbColor rgb="FF00FFFF"/>
      <rgbColor rgb="FF9C0006"/>
      <rgbColor rgb="FF008000"/>
      <rgbColor rgb="FF000080"/>
      <rgbColor rgb="FF808000"/>
      <rgbColor rgb="FF800080"/>
      <rgbColor rgb="FF008080"/>
      <rgbColor rgb="FFC0C0C0"/>
      <rgbColor rgb="FF808080"/>
      <rgbColor rgb="FF9999FF"/>
      <rgbColor rgb="FF993366"/>
      <rgbColor rgb="FFFFF6D9"/>
      <rgbColor rgb="FFE2EFDA"/>
      <rgbColor rgb="FF660066"/>
      <rgbColor rgb="FFFF8080"/>
      <rgbColor rgb="FF0066CC"/>
      <rgbColor rgb="FFD9E1F2"/>
      <rgbColor rgb="FF000080"/>
      <rgbColor rgb="FFFF00FF"/>
      <rgbColor rgb="FFFFFF00"/>
      <rgbColor rgb="FF00FFFF"/>
      <rgbColor rgb="FF800080"/>
      <rgbColor rgb="FF800000"/>
      <rgbColor rgb="FF008080"/>
      <rgbColor rgb="FF0000FF"/>
      <rgbColor rgb="FF00CCFF"/>
      <rgbColor rgb="FFCCFFFF"/>
      <rgbColor rgb="FFC6EFCE"/>
      <rgbColor rgb="FFFFEB9C"/>
      <rgbColor rgb="FF99CCFF"/>
      <rgbColor rgb="FFFF99CC"/>
      <rgbColor rgb="FFCC99FF"/>
      <rgbColor rgb="FFFFC7CE"/>
      <rgbColor rgb="FF3366FF"/>
      <rgbColor rgb="FF33CCCC"/>
      <rgbColor rgb="FF99CC00"/>
      <rgbColor rgb="FFFFCC00"/>
      <rgbColor rgb="FFFF9900"/>
      <rgbColor rgb="FFFF6600"/>
      <rgbColor rgb="FF555555"/>
      <rgbColor rgb="FF999999"/>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tables/table1.xml><?xml version="1.0" encoding="utf-8"?>
<table xmlns="http://schemas.openxmlformats.org/spreadsheetml/2006/main" id="1" name="tblSpec" displayName="tblSpec" ref="A1:D178" headerRowCount="1" totalsRowCount="0" totalsRowShown="0">
  <autoFilter ref="A1:D178"/>
  <tableColumns count="4">
    <tableColumn id="1" name="Item"/>
    <tableColumn id="2" name="Kg"/>
    <tableColumn id="3" name="Per"/>
    <tableColumn id="4" name="SWL (kg)"/>
  </tableColumns>
</table>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comments" Target="../comments2.xml"/><Relationship Id="rId2" Type="http://schemas.openxmlformats.org/officeDocument/2006/relationships/vmlDrawing" Target="../drawings/vmlDrawing1.vml"/><Relationship Id="rId3" Type="http://schemas.openxmlformats.org/officeDocument/2006/relationships/table" Target="../tables/table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74"/>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8" topLeftCell="A9"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6"/>
    <col collapsed="false" customWidth="true" hidden="false" outlineLevel="0" max="2" min="2" style="0" width="54"/>
    <col collapsed="false" customWidth="true" hidden="false" outlineLevel="0" max="3" min="3" style="0" width="13"/>
    <col collapsed="false" customWidth="true" hidden="false" outlineLevel="0" max="4" min="4" style="0" width="9"/>
    <col collapsed="false" customWidth="true" hidden="false" outlineLevel="0" max="5" min="5" style="0" width="12"/>
    <col collapsed="false" customWidth="true" hidden="false" outlineLevel="0" max="6" min="6" style="0" width="8"/>
    <col collapsed="false" customWidth="true" hidden="false" outlineLevel="0" max="7" min="7" style="0" width="13"/>
    <col collapsed="false" customWidth="true" hidden="false" outlineLevel="0" max="8" min="8" style="0" width="11"/>
    <col collapsed="false" customWidth="true" hidden="false" outlineLevel="0" max="9" min="9" style="0" width="13"/>
    <col collapsed="false" customWidth="true" hidden="false" outlineLevel="0" max="10" min="10" style="0" width="14"/>
    <col collapsed="false" customWidth="true" hidden="false" outlineLevel="0" max="11" min="11" style="0" width="9"/>
  </cols>
  <sheetData>
    <row r="1" customFormat="false" ht="15" hidden="false" customHeight="false" outlineLevel="0" collapsed="false">
      <c r="A1" s="1" t="s">
        <v>0</v>
      </c>
      <c r="B1" s="2" t="s">
        <v>1</v>
      </c>
      <c r="D1" s="1" t="s">
        <v>2</v>
      </c>
      <c r="E1" s="2" t="s">
        <v>3</v>
      </c>
    </row>
    <row r="2" customFormat="false" ht="15" hidden="false" customHeight="false" outlineLevel="0" collapsed="false">
      <c r="A2" s="1" t="s">
        <v>4</v>
      </c>
      <c r="B2" s="3"/>
      <c r="D2" s="1" t="s">
        <v>5</v>
      </c>
      <c r="E2" s="2"/>
    </row>
    <row r="3" customFormat="false" ht="15" hidden="false" customHeight="false" outlineLevel="0" collapsed="false">
      <c r="A3" s="1" t="s">
        <v>6</v>
      </c>
      <c r="B3" s="2" t="s">
        <v>7</v>
      </c>
      <c r="D3" s="1" t="s">
        <v>8</v>
      </c>
      <c r="E3" s="2"/>
    </row>
    <row r="4" customFormat="false" ht="15" hidden="false" customHeight="false" outlineLevel="0" collapsed="false">
      <c r="A4" s="1" t="s">
        <v>9</v>
      </c>
      <c r="B4" s="2"/>
      <c r="D4" s="1" t="s">
        <v>10</v>
      </c>
      <c r="E4" s="2" t="s">
        <v>11</v>
      </c>
    </row>
    <row r="5" customFormat="false" ht="15" hidden="false" customHeight="false" outlineLevel="0" collapsed="false">
      <c r="A5" s="1" t="s">
        <v>12</v>
      </c>
      <c r="B5" s="2" t="s">
        <v>13</v>
      </c>
      <c r="D5" s="1" t="s">
        <v>14</v>
      </c>
      <c r="E5" s="2" t="s">
        <v>15</v>
      </c>
    </row>
    <row r="6" customFormat="false" ht="15" hidden="false" customHeight="false" outlineLevel="0" collapsed="false">
      <c r="A6" s="1" t="s">
        <v>16</v>
      </c>
      <c r="B6" s="2"/>
    </row>
    <row r="8" customFormat="false" ht="30" hidden="false" customHeight="true" outlineLevel="0" collapsed="false">
      <c r="A8" s="4" t="s">
        <v>17</v>
      </c>
      <c r="B8" s="4" t="s">
        <v>18</v>
      </c>
      <c r="C8" s="4" t="s">
        <v>19</v>
      </c>
      <c r="D8" s="4" t="s">
        <v>20</v>
      </c>
      <c r="E8" s="4" t="s">
        <v>21</v>
      </c>
      <c r="F8" s="4" t="s">
        <v>22</v>
      </c>
      <c r="G8" s="4" t="s">
        <v>23</v>
      </c>
      <c r="H8" s="4" t="s">
        <v>24</v>
      </c>
      <c r="I8" s="4" t="s">
        <v>25</v>
      </c>
      <c r="J8" s="4" t="s">
        <v>26</v>
      </c>
      <c r="K8" s="4" t="s">
        <v>27</v>
      </c>
    </row>
    <row r="9" customFormat="false" ht="15" hidden="false" customHeight="false" outlineLevel="0" collapsed="false">
      <c r="A9" s="5" t="s">
        <v>28</v>
      </c>
      <c r="B9" s="6"/>
      <c r="C9" s="6"/>
      <c r="D9" s="6"/>
      <c r="E9" s="6"/>
      <c r="F9" s="7" t="s">
        <v>29</v>
      </c>
      <c r="G9" s="8" t="n">
        <f aca="false">SUM(G10:G12)</f>
        <v>0</v>
      </c>
      <c r="H9" s="6"/>
      <c r="I9" s="6"/>
      <c r="J9" s="6"/>
      <c r="K9" s="6"/>
    </row>
    <row r="10" customFormat="false" ht="15" hidden="false" customHeight="false" outlineLevel="0" collapsed="false">
      <c r="A10" s="9" t="s">
        <v>30</v>
      </c>
      <c r="B10" s="10" t="s">
        <v>31</v>
      </c>
      <c r="C10" s="11" t="str">
        <f aca="true">IF($B10="","",IFERROR(VLOOKUP($B10,SPEC,2,0),"NOT FOUND"))</f>
        <v>TBC</v>
      </c>
      <c r="D10" s="12" t="n">
        <v>1</v>
      </c>
      <c r="E10" s="11" t="str">
        <f aca="true">IF($B10="","",IF(NOT(ISNUMBER($C10)),"CHECK",IF(VLOOKUP($B10,SPEC,3,0)="per m",IF(N($D10)=0,"LEN?",$C10*$D10),$C10)))</f>
        <v>CHECK</v>
      </c>
      <c r="F10" s="12" t="n">
        <v>1</v>
      </c>
      <c r="G10" s="11" t="str">
        <f aca="false">IF($B10="","",IF(ISNUMBER($E10),$E10*N($F10),"CHECK"))</f>
        <v>CHECK</v>
      </c>
      <c r="H10" s="13" t="n">
        <f aca="true">IF($B10="","",IF(N(IFERROR(VLOOKUP($B10,SPEC,4,0),0))&gt;0,VLOOKUP($B10,SPEC,4,0),"–"))</f>
        <v>1280</v>
      </c>
      <c r="I10" s="11" t="n">
        <f aca="false">IF(ISNUMBER($H10),SUM($G$11:$G$12)+$G$13+$G$22+$G$27+$G$34,"")</f>
        <v>444.662</v>
      </c>
      <c r="J10" s="11" t="n">
        <f aca="false">IF(ISNUMBER($I10),$I10*(1+N($F$46)),"")</f>
        <v>466.8951</v>
      </c>
      <c r="K10" s="14" t="n">
        <f aca="false">IF(ISNUMBER($J10),$J10/$H10,"")</f>
        <v>0.364761796875</v>
      </c>
    </row>
    <row r="11" customFormat="false" ht="15" hidden="false" customHeight="false" outlineLevel="0" collapsed="false">
      <c r="B11" s="10"/>
      <c r="C11" s="11" t="str">
        <f aca="true">IF($B11="","",IFERROR(VLOOKUP($B11,SPEC,2,0),"NOT FOUND"))</f>
        <v/>
      </c>
      <c r="D11" s="12"/>
      <c r="E11" s="11" t="str">
        <f aca="true">IF($B11="","",IF(NOT(ISNUMBER($C11)),"CHECK",IF(VLOOKUP($B11,SPEC,3,0)="per m",IF(N($D11)=0,"LEN?",$C11*$D11),$C11)))</f>
        <v/>
      </c>
      <c r="F11" s="12"/>
      <c r="G11" s="11" t="str">
        <f aca="false">IF($B11="","",IF(ISNUMBER($E11),$E11*N($F11),"CHECK"))</f>
        <v/>
      </c>
      <c r="H11" s="13" t="str">
        <f aca="true">IF($B11="","",IF(N(IFERROR(VLOOKUP($B11,SPEC,4,0),0))&gt;0,VLOOKUP($B11,SPEC,4,0),"–"))</f>
        <v/>
      </c>
      <c r="I11" s="11" t="str">
        <f aca="false">IF(ISNUMBER($H11),SUM($G$12:$G$12)+$G$13+$G$22+$G$27+$G$34,"")</f>
        <v/>
      </c>
      <c r="J11" s="11" t="str">
        <f aca="false">IF(ISNUMBER($I11),$I11*(1+N($F$46)),"")</f>
        <v/>
      </c>
      <c r="K11" s="14" t="str">
        <f aca="false">IF(ISNUMBER($J11),$J11/$H11,"")</f>
        <v/>
      </c>
    </row>
    <row r="12" customFormat="false" ht="15" hidden="false" customHeight="false" outlineLevel="0" collapsed="false">
      <c r="B12" s="10"/>
      <c r="C12" s="11" t="str">
        <f aca="true">IF($B12="","",IFERROR(VLOOKUP($B12,SPEC,2,0),"NOT FOUND"))</f>
        <v/>
      </c>
      <c r="D12" s="12"/>
      <c r="E12" s="11" t="str">
        <f aca="true">IF($B12="","",IF(NOT(ISNUMBER($C12)),"CHECK",IF(VLOOKUP($B12,SPEC,3,0)="per m",IF(N($D12)=0,"LEN?",$C12*$D12),$C12)))</f>
        <v/>
      </c>
      <c r="F12" s="12"/>
      <c r="G12" s="11" t="str">
        <f aca="false">IF($B12="","",IF(ISNUMBER($E12),$E12*N($F12),"CHECK"))</f>
        <v/>
      </c>
      <c r="H12" s="13" t="str">
        <f aca="true">IF($B12="","",IF(N(IFERROR(VLOOKUP($B12,SPEC,4,0),0))&gt;0,VLOOKUP($B12,SPEC,4,0),"–"))</f>
        <v/>
      </c>
      <c r="I12" s="11" t="str">
        <f aca="false">IF(ISNUMBER($H12),0+$G$13+$G$22+$G$27+$G$34,"")</f>
        <v/>
      </c>
      <c r="J12" s="11" t="str">
        <f aca="false">IF(ISNUMBER($I12),$I12*(1+N($F$46)),"")</f>
        <v/>
      </c>
      <c r="K12" s="14" t="str">
        <f aca="false">IF(ISNUMBER($J12),$J12/$H12,"")</f>
        <v/>
      </c>
    </row>
    <row r="13" customFormat="false" ht="15" hidden="false" customHeight="false" outlineLevel="0" collapsed="false">
      <c r="A13" s="5" t="s">
        <v>32</v>
      </c>
      <c r="B13" s="6"/>
      <c r="C13" s="6"/>
      <c r="D13" s="6"/>
      <c r="E13" s="6"/>
      <c r="F13" s="7" t="s">
        <v>29</v>
      </c>
      <c r="G13" s="8" t="n">
        <f aca="false">SUM(G14:G21)</f>
        <v>85.334</v>
      </c>
      <c r="H13" s="6"/>
      <c r="I13" s="6"/>
      <c r="J13" s="6"/>
      <c r="K13" s="6"/>
    </row>
    <row r="14" customFormat="false" ht="15" hidden="false" customHeight="false" outlineLevel="0" collapsed="false">
      <c r="A14" s="9" t="s">
        <v>33</v>
      </c>
      <c r="B14" s="10" t="s">
        <v>34</v>
      </c>
      <c r="C14" s="11" t="n">
        <f aca="true">IF($B14="","",IFERROR(VLOOKUP($B14,SPEC,2,0),"NOT FOUND"))</f>
        <v>54</v>
      </c>
      <c r="D14" s="12"/>
      <c r="E14" s="11" t="n">
        <f aca="true">IF($B14="","",IF(NOT(ISNUMBER($C14)),"CHECK",IF(VLOOKUP($B14,SPEC,3,0)="per m",IF(N($D14)=0,"LEN?",$C14*$D14),$C14)))</f>
        <v>54</v>
      </c>
      <c r="F14" s="12" t="n">
        <v>1</v>
      </c>
      <c r="G14" s="11" t="n">
        <f aca="false">IF($B14="","",IF(ISNUMBER($E14),$E14*N($F14),"CHECK"))</f>
        <v>54</v>
      </c>
      <c r="H14" s="13" t="n">
        <f aca="true">IF($B14="","",IF(N(IFERROR(VLOOKUP($B14,SPEC,4,0),0))&gt;0,VLOOKUP($B14,SPEC,4,0),"–"))</f>
        <v>1000</v>
      </c>
      <c r="I14" s="11" t="n">
        <f aca="false">IF(ISNUMBER($H14),IF($E$5="Body up",0,$G$13)+$G$22+$G$27+$G$34,"")</f>
        <v>444.662</v>
      </c>
      <c r="J14" s="11" t="n">
        <f aca="false">IF(ISNUMBER($I14),$I14*(1+N($F$46)),"")</f>
        <v>466.8951</v>
      </c>
      <c r="K14" s="14" t="n">
        <f aca="false">IF(ISNUMBER($J14),$J14/$H14,"")</f>
        <v>0.4668951</v>
      </c>
    </row>
    <row r="15" customFormat="false" ht="15" hidden="false" customHeight="false" outlineLevel="0" collapsed="false">
      <c r="A15" s="9" t="s">
        <v>35</v>
      </c>
      <c r="B15" s="10" t="s">
        <v>36</v>
      </c>
      <c r="C15" s="11" t="n">
        <f aca="true">IF($B15="","",IFERROR(VLOOKUP($B15,SPEC,2,0),"NOT FOUND"))</f>
        <v>1.4</v>
      </c>
      <c r="D15" s="12" t="n">
        <v>20</v>
      </c>
      <c r="E15" s="11" t="n">
        <f aca="true">IF($B15="","",IF(NOT(ISNUMBER($C15)),"CHECK",IF(VLOOKUP($B15,SPEC,3,0)="per m",IF(N($D15)=0,"LEN?",$C15*$D15),$C15)))</f>
        <v>28</v>
      </c>
      <c r="F15" s="12" t="n">
        <v>1</v>
      </c>
      <c r="G15" s="11" t="n">
        <f aca="false">IF($B15="","",IF(ISNUMBER($E15),$E15*N($F15),"CHECK"))</f>
        <v>28</v>
      </c>
      <c r="H15" s="13" t="str">
        <f aca="true">IF($B15="","",IF(N(IFERROR(VLOOKUP($B15,SPEC,4,0),0))&gt;0,VLOOKUP($B15,SPEC,4,0),"–"))</f>
        <v>–</v>
      </c>
      <c r="I15" s="11" t="str">
        <f aca="false">IF(ISNUMBER($H15),IF($E$5="Body up",0,$G$13)+$G$22+$G$27+$G$34,"")</f>
        <v/>
      </c>
      <c r="J15" s="11" t="str">
        <f aca="false">IF(ISNUMBER($I15),$I15*(1+N($F$46)),"")</f>
        <v/>
      </c>
      <c r="K15" s="14" t="str">
        <f aca="false">IF(ISNUMBER($J15),$J15/$H15,"")</f>
        <v/>
      </c>
    </row>
    <row r="16" customFormat="false" ht="15" hidden="false" customHeight="false" outlineLevel="0" collapsed="false">
      <c r="A16" s="9" t="s">
        <v>37</v>
      </c>
      <c r="B16" s="10"/>
      <c r="C16" s="11" t="str">
        <f aca="true">IF($B16="","",IFERROR(VLOOKUP($B16,SPEC,2,0),"NOT FOUND"))</f>
        <v/>
      </c>
      <c r="D16" s="12"/>
      <c r="E16" s="11" t="str">
        <f aca="true">IF($B16="","",IF(NOT(ISNUMBER($C16)),"CHECK",IF(VLOOKUP($B16,SPEC,3,0)="per m",IF(N($D16)=0,"LEN?",$C16*$D16),$C16)))</f>
        <v/>
      </c>
      <c r="F16" s="12" t="n">
        <v>1</v>
      </c>
      <c r="G16" s="11" t="str">
        <f aca="false">IF($B16="","",IF(ISNUMBER($E16),$E16*N($F16),"CHECK"))</f>
        <v/>
      </c>
      <c r="H16" s="13" t="str">
        <f aca="true">IF($B16="","",IF(N(IFERROR(VLOOKUP($B16,SPEC,4,0),0))&gt;0,VLOOKUP($B16,SPEC,4,0),"–"))</f>
        <v/>
      </c>
      <c r="I16" s="11" t="str">
        <f aca="false">IF(ISNUMBER($H16),IF($E$5="Body up",0,$G$13)+$G$22+$G$27+$G$34,"")</f>
        <v/>
      </c>
      <c r="J16" s="11" t="str">
        <f aca="false">IF(ISNUMBER($I16),$I16*(1+N($F$46)),"")</f>
        <v/>
      </c>
      <c r="K16" s="14" t="str">
        <f aca="false">IF(ISNUMBER($J16),$J16/$H16,"")</f>
        <v/>
      </c>
    </row>
    <row r="17" customFormat="false" ht="15" hidden="false" customHeight="false" outlineLevel="0" collapsed="false">
      <c r="A17" s="9" t="s">
        <v>38</v>
      </c>
      <c r="B17" s="10" t="s">
        <v>39</v>
      </c>
      <c r="C17" s="11" t="n">
        <f aca="true">IF($B17="","",IFERROR(VLOOKUP($B17,SPEC,2,0),"NOT FOUND"))</f>
        <v>0.26</v>
      </c>
      <c r="D17" s="12" t="n">
        <v>8</v>
      </c>
      <c r="E17" s="11" t="n">
        <f aca="true">IF($B17="","",IF(NOT(ISNUMBER($C17)),"CHECK",IF(VLOOKUP($B17,SPEC,3,0)="per m",IF(N($D17)=0,"LEN?",$C17*$D17),$C17)))</f>
        <v>2.08</v>
      </c>
      <c r="F17" s="12" t="n">
        <v>1</v>
      </c>
      <c r="G17" s="11" t="n">
        <f aca="false">IF($B17="","",IF(ISNUMBER($E17),$E17*N($F17),"CHECK"))</f>
        <v>2.08</v>
      </c>
      <c r="H17" s="13" t="str">
        <f aca="true">IF($B17="","",IF(N(IFERROR(VLOOKUP($B17,SPEC,4,0),0))&gt;0,VLOOKUP($B17,SPEC,4,0),"–"))</f>
        <v>–</v>
      </c>
      <c r="I17" s="11" t="str">
        <f aca="false">IF(ISNUMBER($H17),IF($E$5="Body up",0,$G$13)+$G$22+$G$27+$G$34,"")</f>
        <v/>
      </c>
      <c r="J17" s="11" t="str">
        <f aca="false">IF(ISNUMBER($I17),$I17*(1+N($F$46)),"")</f>
        <v/>
      </c>
      <c r="K17" s="14" t="str">
        <f aca="false">IF(ISNUMBER($J17),$J17/$H17,"")</f>
        <v/>
      </c>
    </row>
    <row r="18" customFormat="false" ht="15" hidden="false" customHeight="false" outlineLevel="0" collapsed="false">
      <c r="A18" s="9" t="s">
        <v>40</v>
      </c>
      <c r="B18" s="10" t="s">
        <v>41</v>
      </c>
      <c r="C18" s="11" t="n">
        <f aca="true">IF($B18="","",IFERROR(VLOOKUP($B18,SPEC,2,0),"NOT FOUND"))</f>
        <v>0.123</v>
      </c>
      <c r="D18" s="12" t="n">
        <v>8</v>
      </c>
      <c r="E18" s="11" t="n">
        <f aca="true">IF($B18="","",IF(NOT(ISNUMBER($C18)),"CHECK",IF(VLOOKUP($B18,SPEC,3,0)="per m",IF(N($D18)=0,"LEN?",$C18*$D18),$C18)))</f>
        <v>0.984</v>
      </c>
      <c r="F18" s="12" t="n">
        <v>1</v>
      </c>
      <c r="G18" s="11" t="n">
        <f aca="false">IF($B18="","",IF(ISNUMBER($E18),$E18*N($F18),"CHECK"))</f>
        <v>0.984</v>
      </c>
      <c r="H18" s="13" t="str">
        <f aca="true">IF($B18="","",IF(N(IFERROR(VLOOKUP($B18,SPEC,4,0),0))&gt;0,VLOOKUP($B18,SPEC,4,0),"–"))</f>
        <v>–</v>
      </c>
      <c r="I18" s="11" t="str">
        <f aca="false">IF(ISNUMBER($H18),IF($E$5="Body up",0,$G$13)+$G$22+$G$27+$G$34,"")</f>
        <v/>
      </c>
      <c r="J18" s="11" t="str">
        <f aca="false">IF(ISNUMBER($I18),$I18*(1+N($F$46)),"")</f>
        <v/>
      </c>
      <c r="K18" s="14" t="str">
        <f aca="false">IF(ISNUMBER($J18),$J18/$H18,"")</f>
        <v/>
      </c>
    </row>
    <row r="19" customFormat="false" ht="15" hidden="false" customHeight="false" outlineLevel="0" collapsed="false">
      <c r="A19" s="9" t="s">
        <v>42</v>
      </c>
      <c r="B19" s="10" t="s">
        <v>43</v>
      </c>
      <c r="C19" s="11" t="n">
        <f aca="true">IF($B19="","",IFERROR(VLOOKUP($B19,SPEC,2,0),"NOT FOUND"))</f>
        <v>0.109</v>
      </c>
      <c r="D19" s="12"/>
      <c r="E19" s="11" t="n">
        <f aca="true">IF($B19="","",IF(NOT(ISNUMBER($C19)),"CHECK",IF(VLOOKUP($B19,SPEC,3,0)="per m",IF(N($D19)=0,"LEN?",$C19*$D19),$C19)))</f>
        <v>0.109</v>
      </c>
      <c r="F19" s="12" t="n">
        <v>1</v>
      </c>
      <c r="G19" s="11" t="n">
        <f aca="false">IF($B19="","",IF(ISNUMBER($E19),$E19*N($F19),"CHECK"))</f>
        <v>0.109</v>
      </c>
      <c r="H19" s="13" t="str">
        <f aca="true">IF($B19="","",IF(N(IFERROR(VLOOKUP($B19,SPEC,4,0),0))&gt;0,VLOOKUP($B19,SPEC,4,0),"–"))</f>
        <v>–</v>
      </c>
      <c r="I19" s="11" t="str">
        <f aca="false">IF(ISNUMBER($H19),IF($E$5="Body up",0,$G$13)+$G$22+$G$27+$G$34,"")</f>
        <v/>
      </c>
      <c r="J19" s="11" t="str">
        <f aca="false">IF(ISNUMBER($I19),$I19*(1+N($F$46)),"")</f>
        <v/>
      </c>
      <c r="K19" s="14" t="str">
        <f aca="false">IF(ISNUMBER($J19),$J19/$H19,"")</f>
        <v/>
      </c>
    </row>
    <row r="20" customFormat="false" ht="15" hidden="false" customHeight="false" outlineLevel="0" collapsed="false">
      <c r="A20" s="9" t="s">
        <v>44</v>
      </c>
      <c r="B20" s="10" t="s">
        <v>45</v>
      </c>
      <c r="C20" s="11" t="n">
        <f aca="true">IF($B20="","",IFERROR(VLOOKUP($B20,SPEC,2,0),"NOT FOUND"))</f>
        <v>0.161</v>
      </c>
      <c r="D20" s="12"/>
      <c r="E20" s="11" t="n">
        <f aca="true">IF($B20="","",IF(NOT(ISNUMBER($C20)),"CHECK",IF(VLOOKUP($B20,SPEC,3,0)="per m",IF(N($D20)=0,"LEN?",$C20*$D20),$C20)))</f>
        <v>0.161</v>
      </c>
      <c r="F20" s="12" t="n">
        <v>1</v>
      </c>
      <c r="G20" s="11" t="n">
        <f aca="false">IF($B20="","",IF(ISNUMBER($E20),$E20*N($F20),"CHECK"))</f>
        <v>0.161</v>
      </c>
      <c r="H20" s="13" t="str">
        <f aca="true">IF($B20="","",IF(N(IFERROR(VLOOKUP($B20,SPEC,4,0),0))&gt;0,VLOOKUP($B20,SPEC,4,0),"–"))</f>
        <v>–</v>
      </c>
      <c r="I20" s="11" t="str">
        <f aca="false">IF(ISNUMBER($H20),IF($E$5="Body up",0,$G$13)+$G$22+$G$27+$G$34,"")</f>
        <v/>
      </c>
      <c r="J20" s="11" t="str">
        <f aca="false">IF(ISNUMBER($I20),$I20*(1+N($F$46)),"")</f>
        <v/>
      </c>
      <c r="K20" s="14" t="str">
        <f aca="false">IF(ISNUMBER($J20),$J20/$H20,"")</f>
        <v/>
      </c>
    </row>
    <row r="21" customFormat="false" ht="15" hidden="false" customHeight="false" outlineLevel="0" collapsed="false">
      <c r="B21" s="10"/>
      <c r="C21" s="11" t="str">
        <f aca="true">IF($B21="","",IFERROR(VLOOKUP($B21,SPEC,2,0),"NOT FOUND"))</f>
        <v/>
      </c>
      <c r="D21" s="12"/>
      <c r="E21" s="11" t="str">
        <f aca="true">IF($B21="","",IF(NOT(ISNUMBER($C21)),"CHECK",IF(VLOOKUP($B21,SPEC,3,0)="per m",IF(N($D21)=0,"LEN?",$C21*$D21),$C21)))</f>
        <v/>
      </c>
      <c r="F21" s="12"/>
      <c r="G21" s="11" t="str">
        <f aca="false">IF($B21="","",IF(ISNUMBER($E21),$E21*N($F21),"CHECK"))</f>
        <v/>
      </c>
      <c r="H21" s="13" t="str">
        <f aca="true">IF($B21="","",IF(N(IFERROR(VLOOKUP($B21,SPEC,4,0),0))&gt;0,VLOOKUP($B21,SPEC,4,0),"–"))</f>
        <v/>
      </c>
      <c r="I21" s="11" t="str">
        <f aca="false">IF(ISNUMBER($H21),IF($E$5="Body up",0,$G$13)+$G$22+$G$27+$G$34,"")</f>
        <v/>
      </c>
      <c r="J21" s="11" t="str">
        <f aca="false">IF(ISNUMBER($I21),$I21*(1+N($F$46)),"")</f>
        <v/>
      </c>
      <c r="K21" s="14" t="str">
        <f aca="false">IF(ISNUMBER($J21),$J21/$H21,"")</f>
        <v/>
      </c>
    </row>
    <row r="22" customFormat="false" ht="15" hidden="false" customHeight="false" outlineLevel="0" collapsed="false">
      <c r="A22" s="5" t="s">
        <v>46</v>
      </c>
      <c r="B22" s="6"/>
      <c r="C22" s="6"/>
      <c r="D22" s="6"/>
      <c r="E22" s="6"/>
      <c r="F22" s="7" t="s">
        <v>29</v>
      </c>
      <c r="G22" s="8" t="n">
        <f aca="false">SUM(G23:G26)</f>
        <v>2.36</v>
      </c>
      <c r="H22" s="6"/>
      <c r="I22" s="6"/>
      <c r="J22" s="6"/>
      <c r="K22" s="6"/>
    </row>
    <row r="23" customFormat="false" ht="15" hidden="false" customHeight="false" outlineLevel="0" collapsed="false">
      <c r="A23" s="9" t="s">
        <v>47</v>
      </c>
      <c r="B23" s="10" t="s">
        <v>48</v>
      </c>
      <c r="C23" s="11" t="n">
        <f aca="true">IF($B23="","",IFERROR(VLOOKUP($B23,SPEC,2,0),"NOT FOUND"))</f>
        <v>0.62</v>
      </c>
      <c r="D23" s="12"/>
      <c r="E23" s="11" t="n">
        <f aca="true">IF($B23="","",IF(NOT(ISNUMBER($C23)),"CHECK",IF(VLOOKUP($B23,SPEC,3,0)="per m",IF(N($D23)=0,"LEN?",$C23*$D23),$C23)))</f>
        <v>0.62</v>
      </c>
      <c r="F23" s="12" t="n">
        <v>3</v>
      </c>
      <c r="G23" s="11" t="n">
        <f aca="false">IF($B23="","",IF(ISNUMBER($E23),$E23*N($F23),"CHECK"))</f>
        <v>1.86</v>
      </c>
      <c r="H23" s="13" t="n">
        <f aca="true">IF($B23="","",IF(N(IFERROR(VLOOKUP($B23,SPEC,4,0),0))&gt;0,VLOOKUP($B23,SPEC,4,0),"–"))</f>
        <v>3250</v>
      </c>
      <c r="I23" s="11" t="n">
        <f aca="false">IF(ISNUMBER($H23),SUM($G$24:$G$26)+$G$27+$G$34,"")</f>
        <v>357.468</v>
      </c>
      <c r="J23" s="11" t="n">
        <f aca="false">IF(ISNUMBER($I23),$I23*(1+N($F$46)),"")</f>
        <v>375.3414</v>
      </c>
      <c r="K23" s="14" t="n">
        <f aca="false">IF(ISNUMBER($J23),$J23/$H23,"")</f>
        <v>0.115489661538462</v>
      </c>
    </row>
    <row r="24" customFormat="false" ht="15" hidden="false" customHeight="false" outlineLevel="0" collapsed="false">
      <c r="A24" s="9" t="s">
        <v>49</v>
      </c>
      <c r="B24" s="10" t="s">
        <v>50</v>
      </c>
      <c r="C24" s="11" t="n">
        <f aca="true">IF($B24="","",IFERROR(VLOOKUP($B24,SPEC,2,0),"NOT FOUND"))</f>
        <v>0.5</v>
      </c>
      <c r="D24" s="12"/>
      <c r="E24" s="11" t="n">
        <f aca="true">IF($B24="","",IF(NOT(ISNUMBER($C24)),"CHECK",IF(VLOOKUP($B24,SPEC,3,0)="per m",IF(N($D24)=0,"LEN?",$C24*$D24),$C24)))</f>
        <v>0.5</v>
      </c>
      <c r="F24" s="12" t="n">
        <v>1</v>
      </c>
      <c r="G24" s="11" t="n">
        <f aca="false">IF($B24="","",IF(ISNUMBER($E24),$E24*N($F24),"CHECK"))</f>
        <v>0.5</v>
      </c>
      <c r="H24" s="13" t="n">
        <f aca="true">IF($B24="","",IF(N(IFERROR(VLOOKUP($B24,SPEC,4,0),0))&gt;0,VLOOKUP($B24,SPEC,4,0),"–"))</f>
        <v>2500</v>
      </c>
      <c r="I24" s="11" t="n">
        <f aca="false">IF(ISNUMBER($H24),SUM($G$25:$G$26)+$G$27+$G$34,"")</f>
        <v>356.968</v>
      </c>
      <c r="J24" s="11" t="n">
        <f aca="false">IF(ISNUMBER($I24),$I24*(1+N($F$46)),"")</f>
        <v>374.8164</v>
      </c>
      <c r="K24" s="14" t="n">
        <f aca="false">IF(ISNUMBER($J24),$J24/$H24,"")</f>
        <v>0.14992656</v>
      </c>
    </row>
    <row r="25" customFormat="false" ht="15" hidden="false" customHeight="false" outlineLevel="0" collapsed="false">
      <c r="B25" s="10"/>
      <c r="C25" s="11" t="str">
        <f aca="true">IF($B25="","",IFERROR(VLOOKUP($B25,SPEC,2,0),"NOT FOUND"))</f>
        <v/>
      </c>
      <c r="D25" s="12"/>
      <c r="E25" s="11" t="str">
        <f aca="true">IF($B25="","",IF(NOT(ISNUMBER($C25)),"CHECK",IF(VLOOKUP($B25,SPEC,3,0)="per m",IF(N($D25)=0,"LEN?",$C25*$D25),$C25)))</f>
        <v/>
      </c>
      <c r="F25" s="12"/>
      <c r="G25" s="11" t="str">
        <f aca="false">IF($B25="","",IF(ISNUMBER($E25),$E25*N($F25),"CHECK"))</f>
        <v/>
      </c>
      <c r="H25" s="13" t="str">
        <f aca="true">IF($B25="","",IF(N(IFERROR(VLOOKUP($B25,SPEC,4,0),0))&gt;0,VLOOKUP($B25,SPEC,4,0),"–"))</f>
        <v/>
      </c>
      <c r="I25" s="11" t="str">
        <f aca="false">IF(ISNUMBER($H25),SUM($G$26:$G$26)+$G$27+$G$34,"")</f>
        <v/>
      </c>
      <c r="J25" s="11" t="str">
        <f aca="false">IF(ISNUMBER($I25),$I25*(1+N($F$46)),"")</f>
        <v/>
      </c>
      <c r="K25" s="14" t="str">
        <f aca="false">IF(ISNUMBER($J25),$J25/$H25,"")</f>
        <v/>
      </c>
    </row>
    <row r="26" customFormat="false" ht="15" hidden="false" customHeight="false" outlineLevel="0" collapsed="false">
      <c r="B26" s="10"/>
      <c r="C26" s="11" t="str">
        <f aca="true">IF($B26="","",IFERROR(VLOOKUP($B26,SPEC,2,0),"NOT FOUND"))</f>
        <v/>
      </c>
      <c r="D26" s="12"/>
      <c r="E26" s="11" t="str">
        <f aca="true">IF($B26="","",IF(NOT(ISNUMBER($C26)),"CHECK",IF(VLOOKUP($B26,SPEC,3,0)="per m",IF(N($D26)=0,"LEN?",$C26*$D26),$C26)))</f>
        <v/>
      </c>
      <c r="F26" s="12"/>
      <c r="G26" s="11" t="str">
        <f aca="false">IF($B26="","",IF(ISNUMBER($E26),$E26*N($F26),"CHECK"))</f>
        <v/>
      </c>
      <c r="H26" s="13" t="str">
        <f aca="true">IF($B26="","",IF(N(IFERROR(VLOOKUP($B26,SPEC,4,0),0))&gt;0,VLOOKUP($B26,SPEC,4,0),"–"))</f>
        <v/>
      </c>
      <c r="I26" s="11" t="str">
        <f aca="false">IF(ISNUMBER($H26),0+$G$27+$G$34,"")</f>
        <v/>
      </c>
      <c r="J26" s="11" t="str">
        <f aca="false">IF(ISNUMBER($I26),$I26*(1+N($F$46)),"")</f>
        <v/>
      </c>
      <c r="K26" s="14" t="str">
        <f aca="false">IF(ISNUMBER($J26),$J26/$H26,"")</f>
        <v/>
      </c>
    </row>
    <row r="27" customFormat="false" ht="15" hidden="false" customHeight="false" outlineLevel="0" collapsed="false">
      <c r="A27" s="5" t="s">
        <v>51</v>
      </c>
      <c r="B27" s="6"/>
      <c r="C27" s="6"/>
      <c r="D27" s="6"/>
      <c r="E27" s="6"/>
      <c r="F27" s="7" t="s">
        <v>29</v>
      </c>
      <c r="G27" s="8" t="n">
        <f aca="false">SUM(G28:G33)</f>
        <v>342</v>
      </c>
      <c r="H27" s="6"/>
      <c r="I27" s="6"/>
      <c r="J27" s="6"/>
      <c r="K27" s="6"/>
    </row>
    <row r="28" customFormat="false" ht="15" hidden="false" customHeight="false" outlineLevel="0" collapsed="false">
      <c r="A28" s="9" t="s">
        <v>52</v>
      </c>
      <c r="B28" s="10" t="s">
        <v>53</v>
      </c>
      <c r="C28" s="11" t="n">
        <f aca="true">IF($B28="","",IFERROR(VLOOKUP($B28,SPEC,2,0),"NOT FOUND"))</f>
        <v>5</v>
      </c>
      <c r="D28" s="12"/>
      <c r="E28" s="11" t="n">
        <f aca="true">IF($B28="","",IF(NOT(ISNUMBER($C28)),"CHECK",IF(VLOOKUP($B28,SPEC,3,0)="per m",IF(N($D28)=0,"LEN?",$C28*$D28),$C28)))</f>
        <v>5</v>
      </c>
      <c r="F28" s="12" t="n">
        <v>1</v>
      </c>
      <c r="G28" s="11" t="n">
        <f aca="false">IF($B28="","",IF(ISNUMBER($E28),$E28*N($F28),"CHECK"))</f>
        <v>5</v>
      </c>
      <c r="H28" s="13" t="n">
        <f aca="true">IF($B28="","",IF(N(IFERROR(VLOOKUP($B28,SPEC,4,0),0))&gt;0,VLOOKUP($B28,SPEC,4,0),"–"))</f>
        <v>860</v>
      </c>
      <c r="I28" s="11" t="n">
        <f aca="false">IF(ISNUMBER($H28),SUM($G$29:$G$33),"")</f>
        <v>337</v>
      </c>
      <c r="J28" s="11" t="n">
        <f aca="false">IF(ISNUMBER($I28),$I28*(1+N($F$46)),"")</f>
        <v>353.85</v>
      </c>
      <c r="K28" s="14" t="n">
        <f aca="false">IF(ISNUMBER($J28),$J28/$H28,"")</f>
        <v>0.411453488372093</v>
      </c>
    </row>
    <row r="29" customFormat="false" ht="15" hidden="false" customHeight="false" outlineLevel="0" collapsed="false">
      <c r="A29" s="9" t="s">
        <v>52</v>
      </c>
      <c r="B29" s="10" t="s">
        <v>54</v>
      </c>
      <c r="C29" s="11" t="n">
        <f aca="true">IF($B29="","",IFERROR(VLOOKUP($B29,SPEC,2,0),"NOT FOUND"))</f>
        <v>25</v>
      </c>
      <c r="D29" s="12"/>
      <c r="E29" s="11" t="n">
        <f aca="true">IF($B29="","",IF(NOT(ISNUMBER($C29)),"CHECK",IF(VLOOKUP($B29,SPEC,3,0)="per m",IF(N($D29)=0,"LEN?",$C29*$D29),$C29)))</f>
        <v>25</v>
      </c>
      <c r="F29" s="12" t="n">
        <v>1</v>
      </c>
      <c r="G29" s="11" t="n">
        <f aca="false">IF($B29="","",IF(ISNUMBER($E29),$E29*N($F29),"CHECK"))</f>
        <v>25</v>
      </c>
      <c r="H29" s="13" t="n">
        <f aca="true">IF($B29="","",IF(N(IFERROR(VLOOKUP($B29,SPEC,4,0),0))&gt;0,VLOOKUP($B29,SPEC,4,0),"–"))</f>
        <v>832</v>
      </c>
      <c r="I29" s="11" t="n">
        <f aca="false">IF(ISNUMBER($H29),SUM($G$30:$G$33),"")</f>
        <v>312</v>
      </c>
      <c r="J29" s="11" t="n">
        <f aca="false">IF(ISNUMBER($I29),$I29*(1+N($F$46)),"")</f>
        <v>327.6</v>
      </c>
      <c r="K29" s="14" t="n">
        <f aca="false">IF(ISNUMBER($J29),$J29/$H29,"")</f>
        <v>0.39375</v>
      </c>
    </row>
    <row r="30" customFormat="false" ht="15" hidden="false" customHeight="false" outlineLevel="0" collapsed="false">
      <c r="A30" s="9" t="s">
        <v>55</v>
      </c>
      <c r="B30" s="10" t="s">
        <v>56</v>
      </c>
      <c r="C30" s="11" t="n">
        <f aca="true">IF($B30="","",IFERROR(VLOOKUP($B30,SPEC,2,0),"NOT FOUND"))</f>
        <v>26</v>
      </c>
      <c r="D30" s="12"/>
      <c r="E30" s="11" t="n">
        <f aca="true">IF($B30="","",IF(NOT(ISNUMBER($C30)),"CHECK",IF(VLOOKUP($B30,SPEC,3,0)="per m",IF(N($D30)=0,"LEN?",$C30*$D30),$C30)))</f>
        <v>26</v>
      </c>
      <c r="F30" s="12" t="n">
        <v>12</v>
      </c>
      <c r="G30" s="11" t="n">
        <f aca="false">IF($B30="","",IF(ISNUMBER($E30),$E30*N($F30),"CHECK"))</f>
        <v>312</v>
      </c>
      <c r="H30" s="13" t="str">
        <f aca="true">IF($B30="","",IF(N(IFERROR(VLOOKUP($B30,SPEC,4,0),0))&gt;0,VLOOKUP($B30,SPEC,4,0),"–"))</f>
        <v>–</v>
      </c>
      <c r="I30" s="11" t="str">
        <f aca="false">IF(ISNUMBER($H30),SUM($G$31:$G$33),"")</f>
        <v/>
      </c>
      <c r="J30" s="11" t="str">
        <f aca="false">IF(ISNUMBER($I30),$I30*(1+N($F$46)),"")</f>
        <v/>
      </c>
      <c r="K30" s="14" t="str">
        <f aca="false">IF(ISNUMBER($J30),$J30/$H30,"")</f>
        <v/>
      </c>
    </row>
    <row r="31" customFormat="false" ht="15" hidden="false" customHeight="false" outlineLevel="0" collapsed="false">
      <c r="B31" s="10"/>
      <c r="C31" s="11" t="str">
        <f aca="true">IF($B31="","",IFERROR(VLOOKUP($B31,SPEC,2,0),"NOT FOUND"))</f>
        <v/>
      </c>
      <c r="D31" s="12"/>
      <c r="E31" s="11" t="str">
        <f aca="true">IF($B31="","",IF(NOT(ISNUMBER($C31)),"CHECK",IF(VLOOKUP($B31,SPEC,3,0)="per m",IF(N($D31)=0,"LEN?",$C31*$D31),$C31)))</f>
        <v/>
      </c>
      <c r="F31" s="12"/>
      <c r="G31" s="11" t="str">
        <f aca="false">IF($B31="","",IF(ISNUMBER($E31),$E31*N($F31),"CHECK"))</f>
        <v/>
      </c>
      <c r="H31" s="13" t="str">
        <f aca="true">IF($B31="","",IF(N(IFERROR(VLOOKUP($B31,SPEC,4,0),0))&gt;0,VLOOKUP($B31,SPEC,4,0),"–"))</f>
        <v/>
      </c>
      <c r="I31" s="11" t="str">
        <f aca="false">IF(ISNUMBER($H31),SUM($G$32:$G$33),"")</f>
        <v/>
      </c>
      <c r="J31" s="11" t="str">
        <f aca="false">IF(ISNUMBER($I31),$I31*(1+N($F$46)),"")</f>
        <v/>
      </c>
      <c r="K31" s="14" t="str">
        <f aca="false">IF(ISNUMBER($J31),$J31/$H31,"")</f>
        <v/>
      </c>
    </row>
    <row r="32" customFormat="false" ht="15" hidden="false" customHeight="false" outlineLevel="0" collapsed="false">
      <c r="B32" s="10"/>
      <c r="C32" s="11" t="str">
        <f aca="true">IF($B32="","",IFERROR(VLOOKUP($B32,SPEC,2,0),"NOT FOUND"))</f>
        <v/>
      </c>
      <c r="D32" s="12"/>
      <c r="E32" s="11" t="str">
        <f aca="true">IF($B32="","",IF(NOT(ISNUMBER($C32)),"CHECK",IF(VLOOKUP($B32,SPEC,3,0)="per m",IF(N($D32)=0,"LEN?",$C32*$D32),$C32)))</f>
        <v/>
      </c>
      <c r="F32" s="12"/>
      <c r="G32" s="11" t="str">
        <f aca="false">IF($B32="","",IF(ISNUMBER($E32),$E32*N($F32),"CHECK"))</f>
        <v/>
      </c>
      <c r="H32" s="13" t="str">
        <f aca="true">IF($B32="","",IF(N(IFERROR(VLOOKUP($B32,SPEC,4,0),0))&gt;0,VLOOKUP($B32,SPEC,4,0),"–"))</f>
        <v/>
      </c>
      <c r="I32" s="11" t="str">
        <f aca="false">IF(ISNUMBER($H32),SUM($G$33:$G$33),"")</f>
        <v/>
      </c>
      <c r="J32" s="11" t="str">
        <f aca="false">IF(ISNUMBER($I32),$I32*(1+N($F$46)),"")</f>
        <v/>
      </c>
      <c r="K32" s="14" t="str">
        <f aca="false">IF(ISNUMBER($J32),$J32/$H32,"")</f>
        <v/>
      </c>
    </row>
    <row r="33" customFormat="false" ht="15" hidden="false" customHeight="false" outlineLevel="0" collapsed="false">
      <c r="B33" s="10"/>
      <c r="C33" s="11" t="str">
        <f aca="true">IF($B33="","",IFERROR(VLOOKUP($B33,SPEC,2,0),"NOT FOUND"))</f>
        <v/>
      </c>
      <c r="D33" s="12"/>
      <c r="E33" s="11" t="str">
        <f aca="true">IF($B33="","",IF(NOT(ISNUMBER($C33)),"CHECK",IF(VLOOKUP($B33,SPEC,3,0)="per m",IF(N($D33)=0,"LEN?",$C33*$D33),$C33)))</f>
        <v/>
      </c>
      <c r="F33" s="12"/>
      <c r="G33" s="11" t="str">
        <f aca="false">IF($B33="","",IF(ISNUMBER($E33),$E33*N($F33),"CHECK"))</f>
        <v/>
      </c>
      <c r="H33" s="13" t="str">
        <f aca="true">IF($B33="","",IF(N(IFERROR(VLOOKUP($B33,SPEC,4,0),0))&gt;0,VLOOKUP($B33,SPEC,4,0),"–"))</f>
        <v/>
      </c>
      <c r="I33" s="11" t="str">
        <f aca="false">IF(ISNUMBER($H33),0,"")</f>
        <v/>
      </c>
      <c r="J33" s="11" t="str">
        <f aca="false">IF(ISNUMBER($I33),$I33*(1+N($F$46)),"")</f>
        <v/>
      </c>
      <c r="K33" s="14" t="str">
        <f aca="false">IF(ISNUMBER($J33),$J33/$H33,"")</f>
        <v/>
      </c>
    </row>
    <row r="34" customFormat="false" ht="15" hidden="false" customHeight="false" outlineLevel="0" collapsed="false">
      <c r="A34" s="5" t="s">
        <v>57</v>
      </c>
      <c r="B34" s="6"/>
      <c r="C34" s="6"/>
      <c r="D34" s="6"/>
      <c r="E34" s="6"/>
      <c r="F34" s="7" t="s">
        <v>29</v>
      </c>
      <c r="G34" s="8" t="n">
        <f aca="false">SUM(G35:G40)</f>
        <v>14.968</v>
      </c>
      <c r="H34" s="6"/>
      <c r="I34" s="6"/>
      <c r="J34" s="6"/>
      <c r="K34" s="6"/>
    </row>
    <row r="35" customFormat="false" ht="15" hidden="false" customHeight="false" outlineLevel="0" collapsed="false">
      <c r="A35" s="9" t="s">
        <v>58</v>
      </c>
      <c r="B35" s="10" t="s">
        <v>59</v>
      </c>
      <c r="C35" s="11" t="n">
        <f aca="true">IF($B35="","",IFERROR(VLOOKUP($B35,SPEC,2,0),"NOT FOUND"))</f>
        <v>0.04</v>
      </c>
      <c r="D35" s="12"/>
      <c r="E35" s="11" t="n">
        <f aca="true">IF($B35="","",IF(NOT(ISNUMBER($C35)),"CHECK",IF(VLOOKUP($B35,SPEC,3,0)="per m",IF(N($D35)=0,"LEN?",$C35*$D35),$C35)))</f>
        <v>0.04</v>
      </c>
      <c r="F35" s="12" t="n">
        <v>1</v>
      </c>
      <c r="G35" s="11" t="n">
        <f aca="false">IF($B35="","",IF(ISNUMBER($E35),$E35*N($F35),"CHECK"))</f>
        <v>0.04</v>
      </c>
      <c r="H35" s="13" t="n">
        <f aca="true">IF($B35="","",IF(N(IFERROR(VLOOKUP($B35,SPEC,4,0),0))&gt;0,VLOOKUP($B35,SPEC,4,0),"–"))</f>
        <v>2000</v>
      </c>
      <c r="I35" s="11" t="n">
        <f aca="false">IF(ISNUMBER($H35),SUM($G$36:$G$40),"")</f>
        <v>14.928</v>
      </c>
      <c r="J35" s="11" t="n">
        <f aca="false">IF(ISNUMBER($I35),$I35*(1+N($F$46)),"")</f>
        <v>15.6744</v>
      </c>
      <c r="K35" s="14" t="n">
        <f aca="false">IF(ISNUMBER($J35),$J35/$H35,"")</f>
        <v>0.0078372</v>
      </c>
    </row>
    <row r="36" customFormat="false" ht="15" hidden="false" customHeight="false" outlineLevel="0" collapsed="false">
      <c r="A36" s="9" t="s">
        <v>60</v>
      </c>
      <c r="B36" s="10" t="s">
        <v>61</v>
      </c>
      <c r="C36" s="11" t="n">
        <f aca="true">IF($B36="","",IFERROR(VLOOKUP($B36,SPEC,2,0),"NOT FOUND"))</f>
        <v>0.6955</v>
      </c>
      <c r="D36" s="12" t="n">
        <v>8</v>
      </c>
      <c r="E36" s="11" t="n">
        <f aca="true">IF($B36="","",IF(NOT(ISNUMBER($C36)),"CHECK",IF(VLOOKUP($B36,SPEC,3,0)="per m",IF(N($D36)=0,"LEN?",$C36*$D36),$C36)))</f>
        <v>5.564</v>
      </c>
      <c r="F36" s="12" t="n">
        <v>2</v>
      </c>
      <c r="G36" s="11" t="n">
        <f aca="false">IF($B36="","",IF(ISNUMBER($E36),$E36*N($F36),"CHECK"))</f>
        <v>11.128</v>
      </c>
      <c r="H36" s="13" t="str">
        <f aca="true">IF($B36="","",IF(N(IFERROR(VLOOKUP($B36,SPEC,4,0),0))&gt;0,VLOOKUP($B36,SPEC,4,0),"–"))</f>
        <v>–</v>
      </c>
      <c r="I36" s="11" t="str">
        <f aca="false">IF(ISNUMBER($H36),SUM($G$37:$G$40),"")</f>
        <v/>
      </c>
      <c r="J36" s="11" t="str">
        <f aca="false">IF(ISNUMBER($I36),$I36*(1+N($F$46)),"")</f>
        <v/>
      </c>
      <c r="K36" s="14" t="str">
        <f aca="false">IF(ISNUMBER($J36),$J36/$H36,"")</f>
        <v/>
      </c>
    </row>
    <row r="37" customFormat="false" ht="15" hidden="false" customHeight="false" outlineLevel="0" collapsed="false">
      <c r="A37" s="9" t="s">
        <v>62</v>
      </c>
      <c r="B37" s="10" t="s">
        <v>63</v>
      </c>
      <c r="C37" s="11" t="n">
        <f aca="true">IF($B37="","",IFERROR(VLOOKUP($B37,SPEC,2,0),"NOT FOUND"))</f>
        <v>1.9</v>
      </c>
      <c r="D37" s="12"/>
      <c r="E37" s="11" t="n">
        <f aca="true">IF($B37="","",IF(NOT(ISNUMBER($C37)),"CHECK",IF(VLOOKUP($B37,SPEC,3,0)="per m",IF(N($D37)=0,"LEN?",$C37*$D37),$C37)))</f>
        <v>1.9</v>
      </c>
      <c r="F37" s="12" t="n">
        <v>2</v>
      </c>
      <c r="G37" s="11" t="n">
        <f aca="false">IF($B37="","",IF(ISNUMBER($E37),$E37*N($F37),"CHECK"))</f>
        <v>3.8</v>
      </c>
      <c r="H37" s="13" t="str">
        <f aca="true">IF($B37="","",IF(N(IFERROR(VLOOKUP($B37,SPEC,4,0),0))&gt;0,VLOOKUP($B37,SPEC,4,0),"–"))</f>
        <v>–</v>
      </c>
      <c r="I37" s="11" t="str">
        <f aca="false">IF(ISNUMBER($H37),SUM($G$38:$G$40),"")</f>
        <v/>
      </c>
      <c r="J37" s="11" t="str">
        <f aca="false">IF(ISNUMBER($I37),$I37*(1+N($F$46)),"")</f>
        <v/>
      </c>
      <c r="K37" s="14" t="str">
        <f aca="false">IF(ISNUMBER($J37),$J37/$H37,"")</f>
        <v/>
      </c>
    </row>
    <row r="38" customFormat="false" ht="15" hidden="false" customHeight="false" outlineLevel="0" collapsed="false">
      <c r="B38" s="10"/>
      <c r="C38" s="11" t="str">
        <f aca="true">IF($B38="","",IFERROR(VLOOKUP($B38,SPEC,2,0),"NOT FOUND"))</f>
        <v/>
      </c>
      <c r="D38" s="12"/>
      <c r="E38" s="11" t="str">
        <f aca="true">IF($B38="","",IF(NOT(ISNUMBER($C38)),"CHECK",IF(VLOOKUP($B38,SPEC,3,0)="per m",IF(N($D38)=0,"LEN?",$C38*$D38),$C38)))</f>
        <v/>
      </c>
      <c r="F38" s="12"/>
      <c r="G38" s="11" t="str">
        <f aca="false">IF($B38="","",IF(ISNUMBER($E38),$E38*N($F38),"CHECK"))</f>
        <v/>
      </c>
      <c r="H38" s="13" t="str">
        <f aca="true">IF($B38="","",IF(N(IFERROR(VLOOKUP($B38,SPEC,4,0),0))&gt;0,VLOOKUP($B38,SPEC,4,0),"–"))</f>
        <v/>
      </c>
      <c r="I38" s="11" t="str">
        <f aca="false">IF(ISNUMBER($H38),SUM($G$39:$G$40),"")</f>
        <v/>
      </c>
      <c r="J38" s="11" t="str">
        <f aca="false">IF(ISNUMBER($I38),$I38*(1+N($F$46)),"")</f>
        <v/>
      </c>
      <c r="K38" s="14" t="str">
        <f aca="false">IF(ISNUMBER($J38),$J38/$H38,"")</f>
        <v/>
      </c>
    </row>
    <row r="39" customFormat="false" ht="15" hidden="false" customHeight="false" outlineLevel="0" collapsed="false">
      <c r="B39" s="10"/>
      <c r="C39" s="11" t="str">
        <f aca="true">IF($B39="","",IFERROR(VLOOKUP($B39,SPEC,2,0),"NOT FOUND"))</f>
        <v/>
      </c>
      <c r="D39" s="12"/>
      <c r="E39" s="11" t="str">
        <f aca="true">IF($B39="","",IF(NOT(ISNUMBER($C39)),"CHECK",IF(VLOOKUP($B39,SPEC,3,0)="per m",IF(N($D39)=0,"LEN?",$C39*$D39),$C39)))</f>
        <v/>
      </c>
      <c r="F39" s="12"/>
      <c r="G39" s="11" t="str">
        <f aca="false">IF($B39="","",IF(ISNUMBER($E39),$E39*N($F39),"CHECK"))</f>
        <v/>
      </c>
      <c r="H39" s="13" t="str">
        <f aca="true">IF($B39="","",IF(N(IFERROR(VLOOKUP($B39,SPEC,4,0),0))&gt;0,VLOOKUP($B39,SPEC,4,0),"–"))</f>
        <v/>
      </c>
      <c r="I39" s="11" t="str">
        <f aca="false">IF(ISNUMBER($H39),SUM($G$40:$G$40),"")</f>
        <v/>
      </c>
      <c r="J39" s="11" t="str">
        <f aca="false">IF(ISNUMBER($I39),$I39*(1+N($F$46)),"")</f>
        <v/>
      </c>
      <c r="K39" s="14" t="str">
        <f aca="false">IF(ISNUMBER($J39),$J39/$H39,"")</f>
        <v/>
      </c>
    </row>
    <row r="40" customFormat="false" ht="15" hidden="false" customHeight="false" outlineLevel="0" collapsed="false">
      <c r="B40" s="10"/>
      <c r="C40" s="11" t="str">
        <f aca="true">IF($B40="","",IFERROR(VLOOKUP($B40,SPEC,2,0),"NOT FOUND"))</f>
        <v/>
      </c>
      <c r="D40" s="12"/>
      <c r="E40" s="11" t="str">
        <f aca="true">IF($B40="","",IF(NOT(ISNUMBER($C40)),"CHECK",IF(VLOOKUP($B40,SPEC,3,0)="per m",IF(N($D40)=0,"LEN?",$C40*$D40),$C40)))</f>
        <v/>
      </c>
      <c r="F40" s="12"/>
      <c r="G40" s="11" t="str">
        <f aca="false">IF($B40="","",IF(ISNUMBER($E40),$E40*N($F40),"CHECK"))</f>
        <v/>
      </c>
      <c r="H40" s="13" t="str">
        <f aca="true">IF($B40="","",IF(N(IFERROR(VLOOKUP($B40,SPEC,4,0),0))&gt;0,VLOOKUP($B40,SPEC,4,0),"–"))</f>
        <v/>
      </c>
      <c r="I40" s="11" t="str">
        <f aca="false">IF(ISNUMBER($H40),0,"")</f>
        <v/>
      </c>
      <c r="J40" s="11" t="str">
        <f aca="false">IF(ISNUMBER($I40),$I40*(1+N($F$46)),"")</f>
        <v/>
      </c>
      <c r="K40" s="14" t="str">
        <f aca="false">IF(ISNUMBER($J40),$J40/$H40,"")</f>
        <v/>
      </c>
    </row>
    <row r="41" customFormat="false" ht="15" hidden="false" customHeight="false" outlineLevel="0" collapsed="false">
      <c r="A41" s="15" t="s">
        <v>64</v>
      </c>
      <c r="G41" s="16" t="n">
        <f aca="false">G9+G13+G22+G27+G34</f>
        <v>444.662</v>
      </c>
    </row>
    <row r="42" customFormat="false" ht="15" hidden="false" customHeight="false" outlineLevel="0" collapsed="false">
      <c r="A42" s="1" t="s">
        <v>65</v>
      </c>
      <c r="B42" s="17" t="str">
        <f aca="false">IF(COUNTIF($C$10:$C$40,"TBC")+COUNTIF($C$10:$C$40,"NOT FOUND")+COUNTIF($E$10:$E$40,"LEN?")+COUNTIF($E$10:$E$40,"CHECK")&gt;0,"⚠ MISSING DATA – total understated. Resolve TBC / NOT FOUND / LEN? flags.","OK – all line data resolved")</f>
        <v>⚠ MISSING DATA – total understated. Resolve TBC / NOT FOUND / LEN? flags.</v>
      </c>
    </row>
    <row r="44" customFormat="false" ht="15" hidden="false" customHeight="false" outlineLevel="0" collapsed="false">
      <c r="A44" s="18" t="s">
        <v>66</v>
      </c>
      <c r="B44" s="19"/>
      <c r="C44" s="19"/>
      <c r="D44" s="19"/>
      <c r="E44" s="19"/>
      <c r="F44" s="19"/>
      <c r="G44" s="19"/>
      <c r="H44" s="19"/>
      <c r="I44" s="19"/>
      <c r="J44" s="19"/>
      <c r="K44" s="19"/>
    </row>
    <row r="45" customFormat="false" ht="15" hidden="false" customHeight="false" outlineLevel="0" collapsed="false">
      <c r="A45" s="1" t="s">
        <v>67</v>
      </c>
      <c r="G45" s="11" t="n">
        <f aca="false">G41</f>
        <v>444.662</v>
      </c>
    </row>
    <row r="46" customFormat="false" ht="15" hidden="false" customHeight="false" outlineLevel="0" collapsed="false">
      <c r="A46" s="1" t="s">
        <v>68</v>
      </c>
      <c r="F46" s="20" t="n">
        <v>0.05</v>
      </c>
      <c r="G46" s="11" t="n">
        <f aca="false">G45*N(F46)</f>
        <v>22.2331</v>
      </c>
    </row>
    <row r="47" customFormat="false" ht="15" hidden="false" customHeight="false" outlineLevel="0" collapsed="false">
      <c r="A47" s="15" t="s">
        <v>69</v>
      </c>
      <c r="G47" s="16" t="n">
        <f aca="false">G45+G46</f>
        <v>466.8951</v>
      </c>
    </row>
    <row r="49" customFormat="false" ht="15" hidden="false" customHeight="false" outlineLevel="0" collapsed="false">
      <c r="A49" s="1" t="s">
        <v>70</v>
      </c>
      <c r="B49" s="21" t="s">
        <v>71</v>
      </c>
      <c r="H49" s="22"/>
    </row>
    <row r="50" customFormat="false" ht="15" hidden="false" customHeight="false" outlineLevel="0" collapsed="false">
      <c r="A50" s="1" t="s">
        <v>72</v>
      </c>
      <c r="B50" s="23"/>
    </row>
    <row r="51" customFormat="false" ht="15" hidden="false" customHeight="false" outlineLevel="0" collapsed="false">
      <c r="A51" s="1" t="s">
        <v>73</v>
      </c>
      <c r="B51" s="23"/>
    </row>
    <row r="52" customFormat="false" ht="15" hidden="false" customHeight="false" outlineLevel="0" collapsed="false">
      <c r="A52" s="1" t="s">
        <v>74</v>
      </c>
      <c r="B52" s="24" t="s">
        <v>75</v>
      </c>
    </row>
    <row r="53" customFormat="false" ht="15" hidden="false" customHeight="false" outlineLevel="0" collapsed="false">
      <c r="A53" s="1" t="s">
        <v>76</v>
      </c>
      <c r="B53" s="1" t="str">
        <f aca="false">IF(N($H$49)=0,"No stated capacity – design load to be submitted for approval.",IF($B$50="","⚠ CAPACITY STATED WITH NO SOURCE – attribute the figure before relying on it.",IF($G$47/$H$49&gt;1,"⚠ DESIGN LOAD EXCEEDS STATED POINT CAPACITY","Stated capacity recorded. To be confirmed by the venue / structural engineer.")))</f>
        <v>No stated capacity – design load to be submitted for approval.</v>
      </c>
    </row>
    <row r="55" customFormat="false" ht="15" hidden="false" customHeight="false" outlineLevel="0" collapsed="false">
      <c r="A55" s="25" t="s">
        <v>77</v>
      </c>
      <c r="B55" s="26"/>
      <c r="C55" s="26"/>
      <c r="D55" s="26"/>
      <c r="E55" s="26"/>
      <c r="F55" s="26"/>
      <c r="G55" s="26"/>
      <c r="H55" s="26"/>
      <c r="I55" s="26"/>
      <c r="J55" s="26"/>
      <c r="K55" s="26"/>
    </row>
    <row r="56" customFormat="false" ht="23.85" hidden="false" customHeight="false" outlineLevel="0" collapsed="false">
      <c r="A56" s="27" t="s">
        <v>78</v>
      </c>
      <c r="B56" s="27" t="s">
        <v>79</v>
      </c>
      <c r="H56" s="28" t="s">
        <v>80</v>
      </c>
      <c r="J56" s="28" t="s">
        <v>26</v>
      </c>
      <c r="K56" s="28" t="s">
        <v>27</v>
      </c>
    </row>
    <row r="57" customFormat="false" ht="15" hidden="false" customHeight="false" outlineLevel="0" collapsed="false">
      <c r="A57" s="29" t="s">
        <v>81</v>
      </c>
      <c r="B57" s="30" t="str">
        <f aca="false">IF(N($H$49)=0,"For approval – no stated capacity","Stated point capacity")</f>
        <v>For approval – no stated capacity</v>
      </c>
      <c r="H57" s="31" t="str">
        <f aca="false">IF(N($H$49)=0,"",$H$49)</f>
        <v/>
      </c>
      <c r="J57" s="32" t="n">
        <f aca="false">G47</f>
        <v>466.8951</v>
      </c>
      <c r="K57" s="33" t="str">
        <f aca="false">IF(N($H$49)=0,"",$G$47/$H$49)</f>
        <v/>
      </c>
    </row>
    <row r="58" customFormat="false" ht="15" hidden="false" customHeight="false" outlineLevel="0" collapsed="false">
      <c r="A58" s="29" t="s">
        <v>82</v>
      </c>
      <c r="B58" s="30" t="str">
        <f aca="false">IF(COUNT($K$10:$K$12)=0,"– no rated item listed –",INDEX($B$10:$B$12,MATCH(MAX($K$10:$K$12),$K$10:$K$12,0)))</f>
        <v>Wire rope sling 10mm 1,280 Kg SWL EN13414-1:2003</v>
      </c>
      <c r="H58" s="31" t="n">
        <f aca="false">IF(COUNT($K$10:$K$12)=0,"",INDEX($H$10:$H$12,MATCH(MAX($K$10:$K$12),$K$10:$K$12,0)))</f>
        <v>1280</v>
      </c>
      <c r="J58" s="32" t="n">
        <f aca="false">IF(COUNT($K$10:$K$12)=0,"",INDEX($J$10:$J$12,MATCH(MAX($K$10:$K$12),$K$10:$K$12,0)))</f>
        <v>466.8951</v>
      </c>
      <c r="K58" s="33" t="n">
        <f aca="false">IF(COUNT($K$10:$K$12)=0,"",MAX($K$10:$K$12))</f>
        <v>0.364761796875</v>
      </c>
    </row>
    <row r="59" customFormat="false" ht="15" hidden="false" customHeight="false" outlineLevel="0" collapsed="false">
      <c r="A59" s="29" t="s">
        <v>33</v>
      </c>
      <c r="B59" s="30" t="str">
        <f aca="false">IF(COUNT($K$14:$K$21)=0,"– no rated item listed –",INDEX($B$14:$B$21,MATCH(MAX($K$14:$K$21),$K$14:$K$21,0)))</f>
        <v>Lodestar D8 LL 1000 Kg 1 Fall 7.92 x 21.80</v>
      </c>
      <c r="H59" s="31" t="n">
        <f aca="false">IF(COUNT($K$14:$K$21)=0,"",INDEX($H$14:$H$21,MATCH(MAX($K$14:$K$21),$K$14:$K$21,0)))</f>
        <v>1000</v>
      </c>
      <c r="J59" s="32" t="n">
        <f aca="false">IF(COUNT($K$14:$K$21)=0,"",INDEX($J$14:$J$21,MATCH(MAX($K$14:$K$21),$K$14:$K$21,0)))</f>
        <v>466.8951</v>
      </c>
      <c r="K59" s="33" t="n">
        <f aca="false">IF(COUNT($K$14:$K$21)=0,"",MAX($K$14:$K$21))</f>
        <v>0.4668951</v>
      </c>
    </row>
    <row r="60" customFormat="false" ht="15" hidden="false" customHeight="false" outlineLevel="0" collapsed="false">
      <c r="A60" s="29" t="s">
        <v>83</v>
      </c>
      <c r="B60" s="30" t="str">
        <f aca="false">IF(COUNT($K$23:$K$26)=0,"– no rated item listed –",INDEX($B$23:$B$26,MATCH(MAX($K$23:$K$26),$K$23:$K$26,0)))</f>
        <v>Grade 80 Masterlink ML/A16 2.5t WLL</v>
      </c>
      <c r="H60" s="31" t="n">
        <f aca="false">IF(COUNT($K$23:$K$26)=0,"",INDEX($H$23:$H$26,MATCH(MAX($K$23:$K$26),$K$23:$K$26,0)))</f>
        <v>2500</v>
      </c>
      <c r="J60" s="32" t="n">
        <f aca="false">IF(COUNT($K$23:$K$26)=0,"",INDEX($J$23:$J$26,MATCH(MAX($K$23:$K$26),$K$23:$K$26,0)))</f>
        <v>374.8164</v>
      </c>
      <c r="K60" s="33" t="n">
        <f aca="false">IF(COUNT($K$23:$K$26)=0,"",MAX($K$23:$K$26))</f>
        <v>0.14992656</v>
      </c>
    </row>
    <row r="61" customFormat="false" ht="15" hidden="false" customHeight="false" outlineLevel="0" collapsed="false">
      <c r="A61" s="29" t="s">
        <v>84</v>
      </c>
      <c r="B61" s="30" t="str">
        <f aca="false">IF(COUNT($K$28:$K$33)=0,"– no rated item listed –",INDEX($B$28:$B$33,MATCH(MAX($K$28:$K$33),$K$28:$K$33,0)))</f>
        <v>L-Acoustics M-BAR</v>
      </c>
      <c r="H61" s="31" t="n">
        <f aca="false">IF(COUNT($K$28:$K$33)=0,"",INDEX($H$28:$H$33,MATCH(MAX($K$28:$K$33),$K$28:$K$33,0)))</f>
        <v>860</v>
      </c>
      <c r="J61" s="32" t="n">
        <f aca="false">IF(COUNT($K$28:$K$33)=0,"",INDEX($J$28:$J$33,MATCH(MAX($K$28:$K$33),$K$28:$K$33,0)))</f>
        <v>353.85</v>
      </c>
      <c r="K61" s="33" t="n">
        <f aca="false">IF(COUNT($K$28:$K$33)=0,"",MAX($K$28:$K$33))</f>
        <v>0.411453488372093</v>
      </c>
    </row>
    <row r="62" customFormat="false" ht="15" hidden="false" customHeight="false" outlineLevel="0" collapsed="false">
      <c r="A62" s="29" t="s">
        <v>85</v>
      </c>
      <c r="B62" s="30" t="str">
        <f aca="false">IF(COUNT($K$35:$K$40)=0,"– no rated item listed –",INDEX($B$35:$B$40,MATCH(MAX($K$35:$K$40),$K$35:$K$40,0)))</f>
        <v>Roundsling 2t EN1492-2:2000 1.0mtr Circ 0.5mtr EWL</v>
      </c>
      <c r="H62" s="31" t="n">
        <f aca="false">IF(COUNT($K$35:$K$40)=0,"",INDEX($H$35:$H$40,MATCH(MAX($K$35:$K$40),$K$35:$K$40,0)))</f>
        <v>2000</v>
      </c>
      <c r="J62" s="32" t="n">
        <f aca="false">IF(COUNT($K$35:$K$40)=0,"",INDEX($J$35:$J$40,MATCH(MAX($K$35:$K$40),$K$35:$K$40,0)))</f>
        <v>15.6744</v>
      </c>
      <c r="K62" s="33" t="n">
        <f aca="false">IF(COUNT($K$35:$K$40)=0,"",MAX($K$35:$K$40))</f>
        <v>0.0078372</v>
      </c>
    </row>
    <row r="64" customFormat="false" ht="18.65" hidden="false" customHeight="false" outlineLevel="0" collapsed="false">
      <c r="A64" s="15" t="s">
        <v>86</v>
      </c>
      <c r="B64" s="34" t="str">
        <f aca="false">IF(COUNT($K$10:$K$40)=0,"– no rated items listed –",INDEX($B$10:$B$40,MATCH(MAX($K$10:$K$40),$K$10:$K$40,0))&amp;IF(COUNTIF($K$10:$K$40,MAX($K$10:$K$40))&gt;1,"  (+"&amp;(COUNTIF($K$10:$K$40,MAX($K$10:$K$40))-1)&amp;" other at the same utilisation)",""))</f>
        <v>Lodestar D8 LL 1000 Kg 1 Fall 7.92 x 21.80</v>
      </c>
      <c r="K64" s="35" t="n">
        <f aca="false">IF(COUNT($K$10:$K$40)=0,"",MAX($K$10:$K$40))</f>
        <v>0.4668951</v>
      </c>
    </row>
    <row r="65" customFormat="false" ht="15" hidden="false" customHeight="false" outlineLevel="0" collapsed="false">
      <c r="A65" s="21" t="s">
        <v>87</v>
      </c>
    </row>
    <row r="67" customFormat="false" ht="15" hidden="false" customHeight="false" outlineLevel="0" collapsed="false">
      <c r="A67" s="36" t="s">
        <v>88</v>
      </c>
      <c r="B67" s="21" t="s">
        <v>89</v>
      </c>
    </row>
    <row r="68" customFormat="false" ht="15" hidden="false" customHeight="false" outlineLevel="0" collapsed="false">
      <c r="A68" s="36" t="s">
        <v>90</v>
      </c>
      <c r="B68" s="21" t="s">
        <v>91</v>
      </c>
    </row>
    <row r="69" customFormat="false" ht="15" hidden="false" customHeight="false" outlineLevel="0" collapsed="false">
      <c r="A69" s="37" t="s">
        <v>92</v>
      </c>
      <c r="B69" s="21" t="s">
        <v>93</v>
      </c>
    </row>
    <row r="70" customFormat="false" ht="15" hidden="false" customHeight="false" outlineLevel="0" collapsed="false">
      <c r="A70" s="37" t="s">
        <v>94</v>
      </c>
      <c r="B70" s="21" t="s">
        <v>95</v>
      </c>
    </row>
    <row r="71" customFormat="false" ht="15" hidden="false" customHeight="false" outlineLevel="0" collapsed="false">
      <c r="A71" s="36" t="s">
        <v>96</v>
      </c>
      <c r="B71" s="21" t="s">
        <v>97</v>
      </c>
    </row>
    <row r="72" customFormat="false" ht="15" hidden="false" customHeight="false" outlineLevel="0" collapsed="false">
      <c r="A72" s="36" t="s">
        <v>98</v>
      </c>
      <c r="B72" s="21" t="s">
        <v>99</v>
      </c>
    </row>
    <row r="74" customFormat="false" ht="15" hidden="false" customHeight="false" outlineLevel="0" collapsed="false">
      <c r="A74" s="21" t="s">
        <v>100</v>
      </c>
    </row>
  </sheetData>
  <conditionalFormatting sqref="K10:K40">
    <cfRule type="expression" priority="2" aboveAverage="0" equalAverage="0" bottom="0" percent="0" rank="0" text="" dxfId="0">
      <formula>AND(ISNUMBER($K10),$K10&gt;1)</formula>
    </cfRule>
    <cfRule type="expression" priority="3" aboveAverage="0" equalAverage="0" bottom="0" percent="0" rank="0" text="" dxfId="1">
      <formula>AND(ISNUMBER($K10),$K10&gt;=0.85)</formula>
    </cfRule>
    <cfRule type="expression" priority="4" aboveAverage="0" equalAverage="0" bottom="0" percent="0" rank="0" text="" dxfId="2">
      <formula>AND(ISNUMBER($K10),$K10&gt;0)</formula>
    </cfRule>
  </conditionalFormatting>
  <conditionalFormatting sqref="B42">
    <cfRule type="expression" priority="5" aboveAverage="0" equalAverage="0" bottom="0" percent="0" rank="0" text="" dxfId="3">
      <formula>LEFT($B$42,1)&lt;&gt;"O"</formula>
    </cfRule>
  </conditionalFormatting>
  <conditionalFormatting sqref="F46">
    <cfRule type="expression" priority="6" aboveAverage="0" equalAverage="0" bottom="0" percent="0" rank="0" text="" dxfId="3">
      <formula>N($F$46)&lt;=0</formula>
    </cfRule>
  </conditionalFormatting>
  <conditionalFormatting sqref="B53">
    <cfRule type="expression" priority="7" aboveAverage="0" equalAverage="0" bottom="0" percent="0" rank="0" text="" dxfId="0">
      <formula>LEFT($B$53,1)="⚠"</formula>
    </cfRule>
  </conditionalFormatting>
  <conditionalFormatting sqref="B50">
    <cfRule type="expression" priority="8" aboveAverage="0" equalAverage="0" bottom="0" percent="0" rank="0" text="" dxfId="3">
      <formula>AND(N($H$49)&gt;0,$B$50="")</formula>
    </cfRule>
  </conditionalFormatting>
  <conditionalFormatting sqref="K57:K62">
    <cfRule type="expression" priority="9" aboveAverage="0" equalAverage="0" bottom="0" percent="0" rank="0" text="" dxfId="0">
      <formula>AND(ISNUMBER($K57),$K57&gt;1)</formula>
    </cfRule>
    <cfRule type="expression" priority="10" aboveAverage="0" equalAverage="0" bottom="0" percent="0" rank="0" text="" dxfId="1">
      <formula>AND(ISNUMBER($K57),$K57&gt;=0.85)</formula>
    </cfRule>
    <cfRule type="expression" priority="11" aboveAverage="0" equalAverage="0" bottom="0" percent="0" rank="0" text="" dxfId="2">
      <formula>AND(ISNUMBER($K57),$K57&gt;0)</formula>
    </cfRule>
  </conditionalFormatting>
  <conditionalFormatting sqref="K64">
    <cfRule type="expression" priority="12" aboveAverage="0" equalAverage="0" bottom="0" percent="0" rank="0" text="" dxfId="0">
      <formula>AND(ISNUMBER($K64),$K64&gt;1)</formula>
    </cfRule>
    <cfRule type="expression" priority="13" aboveAverage="0" equalAverage="0" bottom="0" percent="0" rank="0" text="" dxfId="1">
      <formula>AND(ISNUMBER($K64),$K64&gt;=0.85)</formula>
    </cfRule>
    <cfRule type="expression" priority="14" aboveAverage="0" equalAverage="0" bottom="0" percent="0" rank="0" text="" dxfId="2">
      <formula>AND(ISNUMBER($K64),$K64&gt;0)</formula>
    </cfRule>
  </conditionalFormatting>
  <dataValidations count="10">
    <dataValidation allowBlank="true" errorStyle="stop" operator="between" showDropDown="false" showErrorMessage="true" showInputMessage="false" sqref="E1" type="list">
      <formula1>"Draft,Issued,Approved,Superseded"</formula1>
      <formula2>0</formula2>
    </dataValidation>
    <dataValidation allowBlank="true" errorStyle="stop" operator="between" showDropDown="false" showErrorMessage="true" showInputMessage="false" sqref="E3" type="list">
      <formula1>"Yes,No"</formula1>
      <formula2>0</formula2>
    </dataValidation>
    <dataValidation allowBlank="true" errorStyle="stop" operator="between" showDropDown="false" showErrorMessage="true" showInputMessage="false" sqref="E4" type="list">
      <formula1>"Yes,No"</formula1>
      <formula2>0</formula2>
    </dataValidation>
    <dataValidation allowBlank="true" error="Body down = hoist climbs the chain with the load (touring). Body up = hoist fixed at the top." errorStyle="stop" operator="between" showDropDown="false" showErrorMessage="true" showInputMessage="false" sqref="E5" type="list">
      <formula1>"Body down,Body up"</formula1>
      <formula2>0</formula2>
    </dataValidation>
    <dataValidation allowBlank="true" error="Pick an item from the Spec sheet (or add it to the Spec first)." errorStyle="stop" operator="between" showDropDown="false" showErrorMessage="true" showInputMessage="false" sqref="B10:B12" type="list">
      <formula1>SPEC_NAME</formula1>
      <formula2>0</formula2>
    </dataValidation>
    <dataValidation allowBlank="true" error="Pick an item from the Spec sheet (or add it to the Spec first)." errorStyle="stop" operator="between" showDropDown="false" showErrorMessage="true" showInputMessage="false" sqref="B14:B21" type="list">
      <formula1>SPEC_NAME</formula1>
      <formula2>0</formula2>
    </dataValidation>
    <dataValidation allowBlank="true" error="Pick an item from the Spec sheet (or add it to the Spec first)." errorStyle="stop" operator="between" showDropDown="false" showErrorMessage="true" showInputMessage="false" sqref="B23:B26" type="list">
      <formula1>SPEC_NAME</formula1>
      <formula2>0</formula2>
    </dataValidation>
    <dataValidation allowBlank="true" error="Pick an item from the Spec sheet (or add it to the Spec first)." errorStyle="stop" operator="between" showDropDown="false" showErrorMessage="true" showInputMessage="false" sqref="B28:B33" type="list">
      <formula1>SPEC_NAME</formula1>
      <formula2>0</formula2>
    </dataValidation>
    <dataValidation allowBlank="true" error="Pick an item from the Spec sheet (or add it to the Spec first)." errorStyle="stop" operator="between" showDropDown="false" showErrorMessage="true" showInputMessage="false" sqref="B35:B40" type="list">
      <formula1>SPEC_NAME</formula1>
      <formula2>0</formula2>
    </dataValidation>
    <dataValidation allowBlank="true" errorStyle="stop" operator="between" showDropDown="false" showErrorMessage="true" showInputMessage="false" sqref="B52" type="list">
      <formula1>"Yes,No"</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78"/>
  <sheetViews>
    <sheetView showFormulas="false" showGridLines="true" showRowColHeaders="true" showZeros="true" rightToLeft="false" tabSelected="false" showOutlineSymbols="true" defaultGridColor="true" view="normal" topLeftCell="A90" colorId="64" zoomScale="90" zoomScaleNormal="90" zoomScalePageLayoutView="100" workbookViewId="0">
      <selection pane="topLeft" activeCell="A102" activeCellId="0" sqref="A102"/>
    </sheetView>
  </sheetViews>
  <sheetFormatPr defaultColWidth="8.6796875" defaultRowHeight="15" zeroHeight="false" outlineLevelRow="0" outlineLevelCol="0"/>
  <cols>
    <col collapsed="false" customWidth="true" hidden="false" outlineLevel="0" max="1" min="1" style="9" width="62"/>
    <col collapsed="false" customWidth="true" hidden="false" outlineLevel="0" max="2" min="2" style="38" width="10"/>
    <col collapsed="false" customWidth="true" hidden="false" outlineLevel="0" max="3" min="3" style="39" width="9"/>
    <col collapsed="false" customWidth="true" hidden="false" outlineLevel="0" max="4" min="4" style="40" width="13.5"/>
  </cols>
  <sheetData>
    <row r="1" customFormat="false" ht="15" hidden="false" customHeight="true" outlineLevel="0" collapsed="false">
      <c r="A1" s="9" t="s">
        <v>101</v>
      </c>
      <c r="B1" s="41" t="s">
        <v>102</v>
      </c>
      <c r="C1" s="42" t="s">
        <v>103</v>
      </c>
      <c r="D1" s="43" t="s">
        <v>104</v>
      </c>
    </row>
    <row r="2" customFormat="false" ht="15" hidden="false" customHeight="true" outlineLevel="0" collapsed="false">
      <c r="A2" s="9" t="s">
        <v>105</v>
      </c>
      <c r="B2" s="38" t="s">
        <v>106</v>
      </c>
      <c r="C2" s="39" t="s">
        <v>107</v>
      </c>
    </row>
    <row r="3" customFormat="false" ht="15" hidden="false" customHeight="true" outlineLevel="0" collapsed="false">
      <c r="A3" s="9" t="s">
        <v>108</v>
      </c>
      <c r="B3" s="38" t="s">
        <v>106</v>
      </c>
      <c r="C3" s="39" t="s">
        <v>107</v>
      </c>
    </row>
    <row r="4" customFormat="false" ht="15" hidden="false" customHeight="true" outlineLevel="0" collapsed="false">
      <c r="A4" s="9" t="s">
        <v>109</v>
      </c>
      <c r="B4" s="38" t="s">
        <v>106</v>
      </c>
      <c r="C4" s="39" t="s">
        <v>107</v>
      </c>
    </row>
    <row r="5" customFormat="false" ht="15" hidden="false" customHeight="true" outlineLevel="0" collapsed="false">
      <c r="A5" s="9" t="s">
        <v>110</v>
      </c>
      <c r="B5" s="38" t="s">
        <v>106</v>
      </c>
      <c r="C5" s="39" t="s">
        <v>107</v>
      </c>
    </row>
    <row r="6" customFormat="false" ht="15" hidden="false" customHeight="true" outlineLevel="0" collapsed="false">
      <c r="A6" s="9" t="s">
        <v>111</v>
      </c>
      <c r="B6" s="38" t="s">
        <v>106</v>
      </c>
      <c r="C6" s="39" t="s">
        <v>107</v>
      </c>
    </row>
    <row r="7" customFormat="false" ht="15" hidden="false" customHeight="true" outlineLevel="0" collapsed="false">
      <c r="A7" s="9" t="s">
        <v>112</v>
      </c>
      <c r="B7" s="38" t="s">
        <v>106</v>
      </c>
      <c r="C7" s="39" t="s">
        <v>107</v>
      </c>
    </row>
    <row r="8" customFormat="false" ht="15" hidden="false" customHeight="true" outlineLevel="0" collapsed="false">
      <c r="A8" s="9" t="s">
        <v>113</v>
      </c>
      <c r="B8" s="38" t="s">
        <v>106</v>
      </c>
      <c r="C8" s="39" t="s">
        <v>107</v>
      </c>
    </row>
    <row r="9" customFormat="false" ht="15" hidden="false" customHeight="true" outlineLevel="0" collapsed="false">
      <c r="A9" s="9" t="s">
        <v>114</v>
      </c>
      <c r="B9" s="38" t="s">
        <v>106</v>
      </c>
      <c r="C9" s="39" t="s">
        <v>107</v>
      </c>
    </row>
    <row r="10" customFormat="false" ht="15" hidden="false" customHeight="true" outlineLevel="0" collapsed="false">
      <c r="A10" s="9" t="s">
        <v>115</v>
      </c>
      <c r="B10" s="38" t="s">
        <v>106</v>
      </c>
      <c r="C10" s="39" t="s">
        <v>107</v>
      </c>
    </row>
    <row r="11" customFormat="false" ht="15" hidden="false" customHeight="true" outlineLevel="0" collapsed="false">
      <c r="A11" s="9" t="s">
        <v>116</v>
      </c>
      <c r="B11" s="38" t="s">
        <v>106</v>
      </c>
      <c r="C11" s="39" t="s">
        <v>107</v>
      </c>
    </row>
    <row r="12" customFormat="false" ht="15" hidden="false" customHeight="true" outlineLevel="0" collapsed="false">
      <c r="A12" s="9" t="s">
        <v>117</v>
      </c>
      <c r="B12" s="38" t="n">
        <f aca="false">83.78/50</f>
        <v>1.6756</v>
      </c>
      <c r="C12" s="39" t="s">
        <v>107</v>
      </c>
    </row>
    <row r="13" customFormat="false" ht="15" hidden="false" customHeight="true" outlineLevel="0" collapsed="false">
      <c r="A13" s="9" t="s">
        <v>61</v>
      </c>
      <c r="B13" s="38" t="n">
        <f aca="false">27.82/40</f>
        <v>0.6955</v>
      </c>
      <c r="C13" s="39" t="s">
        <v>107</v>
      </c>
    </row>
    <row r="14" customFormat="false" ht="15" hidden="false" customHeight="true" outlineLevel="0" collapsed="false">
      <c r="A14" s="9" t="s">
        <v>118</v>
      </c>
      <c r="B14" s="38" t="n">
        <f aca="false">14.93/30</f>
        <v>0.497666666666667</v>
      </c>
      <c r="C14" s="39" t="s">
        <v>107</v>
      </c>
    </row>
    <row r="15" customFormat="false" ht="15" hidden="false" customHeight="true" outlineLevel="0" collapsed="false">
      <c r="A15" s="9" t="s">
        <v>119</v>
      </c>
      <c r="B15" s="38" t="n">
        <f aca="false">8.27/30</f>
        <v>0.275666666666667</v>
      </c>
      <c r="C15" s="39" t="s">
        <v>107</v>
      </c>
    </row>
    <row r="16" customFormat="false" ht="15" hidden="false" customHeight="true" outlineLevel="0" collapsed="false">
      <c r="A16" s="9" t="s">
        <v>120</v>
      </c>
      <c r="B16" s="38" t="n">
        <f aca="false">94/1000</f>
        <v>0.094</v>
      </c>
      <c r="C16" s="39" t="s">
        <v>107</v>
      </c>
    </row>
    <row r="17" customFormat="false" ht="15" hidden="false" customHeight="true" outlineLevel="0" collapsed="false">
      <c r="A17" s="9" t="s">
        <v>121</v>
      </c>
      <c r="B17" s="38" t="n">
        <f aca="false">120/1000</f>
        <v>0.12</v>
      </c>
      <c r="C17" s="39" t="s">
        <v>107</v>
      </c>
    </row>
    <row r="18" customFormat="false" ht="15" hidden="false" customHeight="true" outlineLevel="0" collapsed="false">
      <c r="A18" s="9" t="s">
        <v>122</v>
      </c>
      <c r="B18" s="38" t="n">
        <f aca="false">173/1000</f>
        <v>0.173</v>
      </c>
      <c r="C18" s="39" t="s">
        <v>107</v>
      </c>
    </row>
    <row r="19" customFormat="false" ht="15" hidden="false" customHeight="true" outlineLevel="0" collapsed="false">
      <c r="A19" s="9" t="s">
        <v>123</v>
      </c>
      <c r="B19" s="38" t="n">
        <f aca="false">239/1000</f>
        <v>0.239</v>
      </c>
      <c r="C19" s="39" t="s">
        <v>107</v>
      </c>
    </row>
    <row r="20" customFormat="false" ht="15" hidden="false" customHeight="true" outlineLevel="0" collapsed="false">
      <c r="A20" s="9" t="s">
        <v>124</v>
      </c>
      <c r="B20" s="38" t="n">
        <f aca="false">313/1000</f>
        <v>0.313</v>
      </c>
      <c r="C20" s="39" t="s">
        <v>107</v>
      </c>
    </row>
    <row r="21" customFormat="false" ht="15" hidden="false" customHeight="true" outlineLevel="0" collapsed="false">
      <c r="A21" s="9" t="s">
        <v>125</v>
      </c>
      <c r="B21" s="38" t="n">
        <f aca="false">563/1000</f>
        <v>0.563</v>
      </c>
      <c r="C21" s="39" t="s">
        <v>107</v>
      </c>
    </row>
    <row r="22" customFormat="false" ht="15" hidden="false" customHeight="true" outlineLevel="0" collapsed="false">
      <c r="A22" s="9" t="s">
        <v>126</v>
      </c>
      <c r="B22" s="38" t="n">
        <f aca="false">830/1000</f>
        <v>0.83</v>
      </c>
      <c r="C22" s="39" t="s">
        <v>107</v>
      </c>
    </row>
    <row r="23" customFormat="false" ht="15" hidden="false" customHeight="true" outlineLevel="0" collapsed="false">
      <c r="A23" s="9" t="s">
        <v>127</v>
      </c>
      <c r="B23" s="38" t="n">
        <f aca="false">117/1000</f>
        <v>0.117</v>
      </c>
      <c r="C23" s="39" t="s">
        <v>107</v>
      </c>
    </row>
    <row r="24" customFormat="false" ht="15" hidden="false" customHeight="true" outlineLevel="0" collapsed="false">
      <c r="A24" s="9" t="s">
        <v>128</v>
      </c>
      <c r="B24" s="38" t="n">
        <f aca="false">147/1000</f>
        <v>0.147</v>
      </c>
      <c r="C24" s="39" t="s">
        <v>107</v>
      </c>
    </row>
    <row r="25" customFormat="false" ht="15" hidden="false" customHeight="true" outlineLevel="0" collapsed="false">
      <c r="A25" s="9" t="s">
        <v>41</v>
      </c>
      <c r="B25" s="38" t="n">
        <f aca="false">123/1000</f>
        <v>0.123</v>
      </c>
      <c r="C25" s="39" t="s">
        <v>107</v>
      </c>
    </row>
    <row r="26" customFormat="false" ht="15" hidden="false" customHeight="true" outlineLevel="0" collapsed="false">
      <c r="A26" s="9" t="s">
        <v>129</v>
      </c>
      <c r="B26" s="38" t="n">
        <f aca="false">297/1000</f>
        <v>0.297</v>
      </c>
      <c r="C26" s="39" t="s">
        <v>107</v>
      </c>
    </row>
    <row r="27" customFormat="false" ht="15" hidden="false" customHeight="true" outlineLevel="0" collapsed="false">
      <c r="A27" s="9" t="s">
        <v>130</v>
      </c>
      <c r="B27" s="38" t="n">
        <f aca="false">390/1000</f>
        <v>0.39</v>
      </c>
      <c r="C27" s="39" t="s">
        <v>107</v>
      </c>
    </row>
    <row r="28" customFormat="false" ht="15" hidden="false" customHeight="true" outlineLevel="0" collapsed="false">
      <c r="A28" s="9" t="s">
        <v>131</v>
      </c>
      <c r="B28" s="38" t="n">
        <f aca="false">705/1000</f>
        <v>0.705</v>
      </c>
      <c r="C28" s="39" t="s">
        <v>107</v>
      </c>
    </row>
    <row r="29" customFormat="false" ht="15" hidden="false" customHeight="true" outlineLevel="0" collapsed="false">
      <c r="A29" s="9" t="s">
        <v>132</v>
      </c>
      <c r="B29" s="38" t="n">
        <f aca="false">1031/1000</f>
        <v>1.031</v>
      </c>
      <c r="C29" s="39" t="s">
        <v>107</v>
      </c>
    </row>
    <row r="30" customFormat="false" ht="15" hidden="false" customHeight="true" outlineLevel="0" collapsed="false">
      <c r="A30" s="9" t="s">
        <v>133</v>
      </c>
      <c r="B30" s="38" t="n">
        <f aca="false">142/1000</f>
        <v>0.142</v>
      </c>
      <c r="C30" s="39" t="s">
        <v>107</v>
      </c>
    </row>
    <row r="31" customFormat="false" ht="15" hidden="false" customHeight="true" outlineLevel="0" collapsed="false">
      <c r="A31" s="9" t="s">
        <v>134</v>
      </c>
      <c r="B31" s="38" t="n">
        <f aca="false">180/1000</f>
        <v>0.18</v>
      </c>
      <c r="C31" s="39" t="s">
        <v>107</v>
      </c>
    </row>
    <row r="32" customFormat="false" ht="15" hidden="false" customHeight="true" outlineLevel="0" collapsed="false">
      <c r="A32" s="9" t="s">
        <v>39</v>
      </c>
      <c r="B32" s="38" t="n">
        <f aca="false">260/1000</f>
        <v>0.26</v>
      </c>
      <c r="C32" s="39" t="s">
        <v>107</v>
      </c>
    </row>
    <row r="33" customFormat="false" ht="15" hidden="false" customHeight="true" outlineLevel="0" collapsed="false">
      <c r="A33" s="9" t="s">
        <v>135</v>
      </c>
      <c r="B33" s="38" t="n">
        <f aca="false">336/1000</f>
        <v>0.336</v>
      </c>
      <c r="C33" s="39" t="s">
        <v>107</v>
      </c>
    </row>
    <row r="34" customFormat="false" ht="15" hidden="false" customHeight="true" outlineLevel="0" collapsed="false">
      <c r="A34" s="9" t="s">
        <v>136</v>
      </c>
      <c r="B34" s="38" t="n">
        <f aca="false">449/1000</f>
        <v>0.449</v>
      </c>
      <c r="C34" s="39" t="s">
        <v>107</v>
      </c>
    </row>
    <row r="35" customFormat="false" ht="15" hidden="false" customHeight="true" outlineLevel="0" collapsed="false">
      <c r="A35" s="9" t="s">
        <v>137</v>
      </c>
      <c r="B35" s="38" t="n">
        <f aca="false">833/1000</f>
        <v>0.833</v>
      </c>
      <c r="C35" s="39" t="s">
        <v>107</v>
      </c>
    </row>
    <row r="36" customFormat="false" ht="15" hidden="false" customHeight="true" outlineLevel="0" collapsed="false">
      <c r="A36" s="9" t="s">
        <v>138</v>
      </c>
      <c r="B36" s="38" t="n">
        <f aca="false">1138/1000</f>
        <v>1.138</v>
      </c>
      <c r="C36" s="39" t="s">
        <v>107</v>
      </c>
    </row>
    <row r="37" customFormat="false" ht="15" hidden="false" customHeight="true" outlineLevel="0" collapsed="false">
      <c r="A37" s="9" t="s">
        <v>139</v>
      </c>
      <c r="B37" s="38" t="n">
        <f aca="false">206/1000</f>
        <v>0.206</v>
      </c>
      <c r="C37" s="39" t="s">
        <v>107</v>
      </c>
    </row>
    <row r="38" customFormat="false" ht="15" hidden="false" customHeight="true" outlineLevel="0" collapsed="false">
      <c r="A38" s="9" t="s">
        <v>140</v>
      </c>
      <c r="B38" s="38" t="n">
        <f aca="false">297/1000</f>
        <v>0.297</v>
      </c>
      <c r="C38" s="39" t="s">
        <v>107</v>
      </c>
    </row>
    <row r="39" customFormat="false" ht="15" hidden="false" customHeight="true" outlineLevel="0" collapsed="false">
      <c r="A39" s="9" t="s">
        <v>141</v>
      </c>
      <c r="B39" s="38" t="n">
        <f aca="false">422/1000</f>
        <v>0.422</v>
      </c>
      <c r="C39" s="39" t="s">
        <v>107</v>
      </c>
    </row>
    <row r="40" customFormat="false" ht="15" hidden="false" customHeight="true" outlineLevel="0" collapsed="false">
      <c r="A40" s="9" t="s">
        <v>142</v>
      </c>
      <c r="B40" s="38" t="n">
        <f aca="false">567/1000</f>
        <v>0.567</v>
      </c>
      <c r="C40" s="39" t="s">
        <v>107</v>
      </c>
    </row>
    <row r="41" customFormat="false" ht="15" hidden="false" customHeight="true" outlineLevel="0" collapsed="false">
      <c r="A41" s="9" t="s">
        <v>143</v>
      </c>
      <c r="B41" s="38" t="n">
        <f aca="false">1010/1000</f>
        <v>1.01</v>
      </c>
      <c r="C41" s="39" t="s">
        <v>107</v>
      </c>
    </row>
    <row r="42" customFormat="false" ht="15" hidden="false" customHeight="true" outlineLevel="0" collapsed="false">
      <c r="A42" s="9" t="s">
        <v>144</v>
      </c>
      <c r="B42" s="38" t="n">
        <f aca="false">1400/1000</f>
        <v>1.4</v>
      </c>
      <c r="C42" s="39" t="s">
        <v>107</v>
      </c>
    </row>
    <row r="43" customFormat="false" ht="15" hidden="false" customHeight="true" outlineLevel="0" collapsed="false">
      <c r="A43" s="9" t="s">
        <v>145</v>
      </c>
      <c r="B43" s="38" t="n">
        <f aca="false">2096/1000</f>
        <v>2.096</v>
      </c>
      <c r="C43" s="39" t="s">
        <v>107</v>
      </c>
    </row>
    <row r="44" customFormat="false" ht="15" hidden="false" customHeight="true" outlineLevel="0" collapsed="false">
      <c r="A44" s="9" t="s">
        <v>146</v>
      </c>
      <c r="B44" s="38" t="n">
        <f aca="false">2700/1000</f>
        <v>2.7</v>
      </c>
      <c r="C44" s="39" t="s">
        <v>107</v>
      </c>
    </row>
    <row r="45" customFormat="false" ht="15" hidden="false" customHeight="true" outlineLevel="0" collapsed="false">
      <c r="A45" s="9" t="s">
        <v>147</v>
      </c>
      <c r="B45" s="38" t="n">
        <f aca="false">3730/1000</f>
        <v>3.73</v>
      </c>
      <c r="C45" s="39" t="s">
        <v>107</v>
      </c>
    </row>
    <row r="46" customFormat="false" ht="15" hidden="false" customHeight="true" outlineLevel="0" collapsed="false">
      <c r="A46" s="9" t="s">
        <v>148</v>
      </c>
      <c r="B46" s="38" t="n">
        <v>0.87</v>
      </c>
      <c r="C46" s="39" t="s">
        <v>107</v>
      </c>
    </row>
    <row r="47" customFormat="false" ht="15" hidden="false" customHeight="true" outlineLevel="0" collapsed="false">
      <c r="A47" s="9" t="s">
        <v>36</v>
      </c>
      <c r="B47" s="38" t="n">
        <v>1.4</v>
      </c>
      <c r="C47" s="39" t="s">
        <v>107</v>
      </c>
    </row>
    <row r="48" customFormat="false" ht="15" hidden="false" customHeight="true" outlineLevel="0" collapsed="false">
      <c r="A48" s="9" t="s">
        <v>149</v>
      </c>
      <c r="B48" s="38" t="n">
        <v>2.8</v>
      </c>
      <c r="C48" s="39" t="s">
        <v>107</v>
      </c>
    </row>
    <row r="49" customFormat="false" ht="15" hidden="false" customHeight="true" outlineLevel="0" collapsed="false">
      <c r="A49" s="9" t="s">
        <v>150</v>
      </c>
      <c r="B49" s="38" t="n">
        <v>2.16</v>
      </c>
      <c r="C49" s="39" t="s">
        <v>107</v>
      </c>
    </row>
    <row r="50" customFormat="false" ht="15" hidden="false" customHeight="true" outlineLevel="0" collapsed="false">
      <c r="A50" s="9" t="s">
        <v>151</v>
      </c>
      <c r="B50" s="38" t="s">
        <v>106</v>
      </c>
      <c r="C50" s="39" t="s">
        <v>107</v>
      </c>
      <c r="D50" s="40" t="n">
        <v>822</v>
      </c>
    </row>
    <row r="51" customFormat="false" ht="15" hidden="false" customHeight="true" outlineLevel="0" collapsed="false">
      <c r="A51" s="9" t="s">
        <v>31</v>
      </c>
      <c r="B51" s="38" t="s">
        <v>106</v>
      </c>
      <c r="C51" s="39" t="s">
        <v>107</v>
      </c>
      <c r="D51" s="40" t="n">
        <v>1280</v>
      </c>
    </row>
    <row r="52" customFormat="false" ht="15" hidden="false" customHeight="true" outlineLevel="0" collapsed="false">
      <c r="A52" s="9" t="s">
        <v>152</v>
      </c>
      <c r="B52" s="38" t="s">
        <v>106</v>
      </c>
      <c r="C52" s="39" t="s">
        <v>107</v>
      </c>
      <c r="D52" s="40" t="n">
        <v>2160</v>
      </c>
    </row>
    <row r="53" customFormat="false" ht="15" hidden="false" customHeight="true" outlineLevel="0" collapsed="false">
      <c r="A53" s="9" t="s">
        <v>153</v>
      </c>
      <c r="B53" s="38" t="s">
        <v>106</v>
      </c>
      <c r="C53" s="39" t="s">
        <v>107</v>
      </c>
      <c r="D53" s="40" t="n">
        <v>3280</v>
      </c>
    </row>
    <row r="54" customFormat="false" ht="15" hidden="false" customHeight="true" outlineLevel="0" collapsed="false">
      <c r="A54" s="9" t="s">
        <v>154</v>
      </c>
      <c r="B54" s="38" t="s">
        <v>106</v>
      </c>
      <c r="C54" s="39" t="s">
        <v>107</v>
      </c>
      <c r="D54" s="40" t="n">
        <v>5420</v>
      </c>
    </row>
    <row r="55" customFormat="false" ht="15" hidden="false" customHeight="true" outlineLevel="0" collapsed="false">
      <c r="A55" s="9" t="s">
        <v>155</v>
      </c>
      <c r="B55" s="38" t="n">
        <v>0.14</v>
      </c>
      <c r="C55" s="39" t="s">
        <v>156</v>
      </c>
      <c r="D55" s="40" t="n">
        <v>1000</v>
      </c>
    </row>
    <row r="56" customFormat="false" ht="15" hidden="false" customHeight="true" outlineLevel="0" collapsed="false">
      <c r="A56" s="9" t="s">
        <v>157</v>
      </c>
      <c r="B56" s="38" t="n">
        <v>0.17</v>
      </c>
      <c r="C56" s="39" t="s">
        <v>156</v>
      </c>
      <c r="D56" s="40" t="n">
        <v>1500</v>
      </c>
    </row>
    <row r="57" customFormat="false" ht="15" hidden="false" customHeight="true" outlineLevel="0" collapsed="false">
      <c r="A57" s="9" t="s">
        <v>158</v>
      </c>
      <c r="B57" s="38" t="n">
        <v>0.33</v>
      </c>
      <c r="C57" s="39" t="s">
        <v>156</v>
      </c>
      <c r="D57" s="40" t="n">
        <v>2000</v>
      </c>
    </row>
    <row r="58" customFormat="false" ht="15" hidden="false" customHeight="true" outlineLevel="0" collapsed="false">
      <c r="A58" s="9" t="s">
        <v>48</v>
      </c>
      <c r="B58" s="38" t="n">
        <v>0.62</v>
      </c>
      <c r="C58" s="39" t="s">
        <v>156</v>
      </c>
      <c r="D58" s="40" t="n">
        <v>3250</v>
      </c>
    </row>
    <row r="59" customFormat="false" ht="15" hidden="false" customHeight="true" outlineLevel="0" collapsed="false">
      <c r="A59" s="9" t="s">
        <v>159</v>
      </c>
      <c r="B59" s="38" t="n">
        <v>1.07</v>
      </c>
      <c r="C59" s="39" t="s">
        <v>156</v>
      </c>
      <c r="D59" s="40" t="n">
        <v>4750</v>
      </c>
    </row>
    <row r="60" customFormat="false" ht="15" hidden="false" customHeight="true" outlineLevel="0" collapsed="false">
      <c r="A60" s="9" t="s">
        <v>160</v>
      </c>
      <c r="B60" s="38" t="n">
        <v>0.14</v>
      </c>
      <c r="C60" s="39" t="s">
        <v>156</v>
      </c>
      <c r="D60" s="40" t="n">
        <v>1000</v>
      </c>
    </row>
    <row r="61" customFormat="false" ht="15" hidden="false" customHeight="true" outlineLevel="0" collapsed="false">
      <c r="A61" s="9" t="s">
        <v>161</v>
      </c>
      <c r="B61" s="38" t="n">
        <v>0.17</v>
      </c>
      <c r="C61" s="39" t="s">
        <v>156</v>
      </c>
      <c r="D61" s="40" t="n">
        <v>1500</v>
      </c>
    </row>
    <row r="62" customFormat="false" ht="15" hidden="false" customHeight="true" outlineLevel="0" collapsed="false">
      <c r="A62" s="9" t="s">
        <v>162</v>
      </c>
      <c r="B62" s="38" t="n">
        <v>0.33</v>
      </c>
      <c r="C62" s="39" t="s">
        <v>156</v>
      </c>
      <c r="D62" s="40" t="n">
        <v>2000</v>
      </c>
    </row>
    <row r="63" customFormat="false" ht="15" hidden="false" customHeight="true" outlineLevel="0" collapsed="false">
      <c r="A63" s="9" t="s">
        <v>163</v>
      </c>
      <c r="B63" s="38" t="n">
        <v>0.62</v>
      </c>
      <c r="C63" s="39" t="s">
        <v>156</v>
      </c>
      <c r="D63" s="40" t="n">
        <v>3250</v>
      </c>
    </row>
    <row r="64" customFormat="false" ht="15" hidden="false" customHeight="true" outlineLevel="0" collapsed="false">
      <c r="A64" s="9" t="s">
        <v>164</v>
      </c>
      <c r="B64" s="38" t="n">
        <v>1.07</v>
      </c>
      <c r="C64" s="39" t="s">
        <v>156</v>
      </c>
      <c r="D64" s="40" t="n">
        <v>4750</v>
      </c>
    </row>
    <row r="65" customFormat="false" ht="15" hidden="false" customHeight="true" outlineLevel="0" collapsed="false">
      <c r="A65" s="9" t="s">
        <v>165</v>
      </c>
      <c r="B65" s="38" t="n">
        <v>1.64</v>
      </c>
      <c r="C65" s="39" t="s">
        <v>156</v>
      </c>
      <c r="D65" s="40" t="n">
        <v>6500</v>
      </c>
    </row>
    <row r="66" customFormat="false" ht="15" hidden="false" customHeight="true" outlineLevel="0" collapsed="false">
      <c r="A66" s="9" t="s">
        <v>166</v>
      </c>
      <c r="B66" s="38" t="n">
        <v>2.28</v>
      </c>
      <c r="C66" s="39" t="s">
        <v>156</v>
      </c>
      <c r="D66" s="40" t="n">
        <v>8500</v>
      </c>
    </row>
    <row r="67" customFormat="false" ht="15" hidden="false" customHeight="true" outlineLevel="0" collapsed="false">
      <c r="A67" s="9" t="s">
        <v>167</v>
      </c>
      <c r="B67" s="38" t="n">
        <v>3.36</v>
      </c>
      <c r="C67" s="39" t="s">
        <v>156</v>
      </c>
      <c r="D67" s="40" t="n">
        <v>9500</v>
      </c>
    </row>
    <row r="68" customFormat="false" ht="15" hidden="false" customHeight="true" outlineLevel="0" collapsed="false">
      <c r="A68" s="9" t="s">
        <v>168</v>
      </c>
      <c r="B68" s="38" t="n">
        <v>0.13</v>
      </c>
      <c r="C68" s="39" t="s">
        <v>156</v>
      </c>
      <c r="D68" s="40" t="n">
        <v>1000</v>
      </c>
    </row>
    <row r="69" customFormat="false" ht="15" hidden="false" customHeight="true" outlineLevel="0" collapsed="false">
      <c r="A69" s="9" t="s">
        <v>169</v>
      </c>
      <c r="B69" s="38" t="n">
        <v>0.2</v>
      </c>
      <c r="C69" s="39" t="s">
        <v>156</v>
      </c>
      <c r="D69" s="40" t="n">
        <v>1500</v>
      </c>
    </row>
    <row r="70" customFormat="false" ht="15" hidden="false" customHeight="true" outlineLevel="0" collapsed="false">
      <c r="A70" s="9" t="s">
        <v>170</v>
      </c>
      <c r="B70" s="38" t="n">
        <v>0.2</v>
      </c>
      <c r="C70" s="39" t="s">
        <v>156</v>
      </c>
      <c r="D70" s="40" t="n">
        <v>2000</v>
      </c>
    </row>
    <row r="71" customFormat="false" ht="15" hidden="false" customHeight="true" outlineLevel="0" collapsed="false">
      <c r="A71" s="9" t="s">
        <v>171</v>
      </c>
      <c r="B71" s="38" t="n">
        <v>0.27</v>
      </c>
      <c r="C71" s="39" t="s">
        <v>156</v>
      </c>
      <c r="D71" s="40" t="n">
        <v>3250</v>
      </c>
    </row>
    <row r="72" customFormat="false" ht="15" hidden="false" customHeight="true" outlineLevel="0" collapsed="false">
      <c r="A72" s="9" t="s">
        <v>172</v>
      </c>
      <c r="B72" s="38" t="n">
        <v>0.57</v>
      </c>
      <c r="C72" s="39" t="s">
        <v>156</v>
      </c>
      <c r="D72" s="40" t="n">
        <v>4750</v>
      </c>
    </row>
    <row r="73" customFormat="false" ht="15" hidden="false" customHeight="true" outlineLevel="0" collapsed="false">
      <c r="A73" s="9" t="s">
        <v>173</v>
      </c>
      <c r="B73" s="38" t="n">
        <v>1.2</v>
      </c>
      <c r="C73" s="39" t="s">
        <v>156</v>
      </c>
      <c r="D73" s="40" t="n">
        <v>6500</v>
      </c>
    </row>
    <row r="74" customFormat="false" ht="15" hidden="false" customHeight="true" outlineLevel="0" collapsed="false">
      <c r="A74" s="9" t="s">
        <v>174</v>
      </c>
      <c r="B74" s="38" t="n">
        <v>1.43</v>
      </c>
      <c r="C74" s="39" t="s">
        <v>156</v>
      </c>
      <c r="D74" s="40" t="n">
        <v>8500</v>
      </c>
    </row>
    <row r="75" customFormat="false" ht="15" hidden="false" customHeight="true" outlineLevel="0" collapsed="false">
      <c r="A75" s="9" t="s">
        <v>175</v>
      </c>
      <c r="B75" s="38" t="n">
        <v>2.15</v>
      </c>
      <c r="C75" s="39" t="s">
        <v>156</v>
      </c>
      <c r="D75" s="40" t="n">
        <v>9500</v>
      </c>
    </row>
    <row r="76" customFormat="false" ht="15" hidden="false" customHeight="true" outlineLevel="0" collapsed="false">
      <c r="A76" s="9" t="s">
        <v>176</v>
      </c>
      <c r="B76" s="38" t="s">
        <v>106</v>
      </c>
      <c r="C76" s="39" t="s">
        <v>156</v>
      </c>
    </row>
    <row r="77" customFormat="false" ht="15" hidden="false" customHeight="true" outlineLevel="0" collapsed="false">
      <c r="A77" s="9" t="s">
        <v>56</v>
      </c>
      <c r="B77" s="38" t="n">
        <v>26</v>
      </c>
      <c r="C77" s="39" t="s">
        <v>156</v>
      </c>
    </row>
    <row r="78" customFormat="false" ht="15" hidden="false" customHeight="true" outlineLevel="0" collapsed="false">
      <c r="A78" s="9" t="s">
        <v>54</v>
      </c>
      <c r="B78" s="38" t="n">
        <v>25</v>
      </c>
      <c r="C78" s="39" t="s">
        <v>156</v>
      </c>
      <c r="D78" s="9" t="n">
        <v>832</v>
      </c>
    </row>
    <row r="79" customFormat="false" ht="15" hidden="false" customHeight="true" outlineLevel="0" collapsed="false">
      <c r="A79" s="9" t="s">
        <v>53</v>
      </c>
      <c r="B79" s="38" t="n">
        <v>5</v>
      </c>
      <c r="C79" s="39" t="s">
        <v>156</v>
      </c>
      <c r="D79" s="9" t="n">
        <v>860</v>
      </c>
    </row>
    <row r="80" customFormat="false" ht="15" hidden="false" customHeight="true" outlineLevel="0" collapsed="false">
      <c r="A80" s="9" t="s">
        <v>177</v>
      </c>
      <c r="B80" s="38" t="n">
        <v>7.6</v>
      </c>
      <c r="C80" s="39" t="s">
        <v>156</v>
      </c>
    </row>
    <row r="81" customFormat="false" ht="15" hidden="false" customHeight="true" outlineLevel="0" collapsed="false">
      <c r="A81" s="9" t="s">
        <v>178</v>
      </c>
      <c r="B81" s="38" t="n">
        <v>2.2</v>
      </c>
      <c r="C81" s="39" t="s">
        <v>156</v>
      </c>
    </row>
    <row r="82" customFormat="false" ht="15" hidden="false" customHeight="true" outlineLevel="0" collapsed="false">
      <c r="A82" s="9" t="s">
        <v>179</v>
      </c>
      <c r="B82" s="38" t="n">
        <v>6</v>
      </c>
      <c r="C82" s="39" t="s">
        <v>156</v>
      </c>
    </row>
    <row r="83" customFormat="false" ht="15" hidden="false" customHeight="true" outlineLevel="0" collapsed="false">
      <c r="A83" s="9" t="s">
        <v>180</v>
      </c>
      <c r="B83" s="38" t="s">
        <v>106</v>
      </c>
      <c r="C83" s="39" t="s">
        <v>156</v>
      </c>
    </row>
    <row r="84" customFormat="false" ht="15" hidden="false" customHeight="true" outlineLevel="0" collapsed="false">
      <c r="A84" s="9" t="s">
        <v>181</v>
      </c>
      <c r="B84" s="38" t="s">
        <v>106</v>
      </c>
      <c r="C84" s="39" t="s">
        <v>156</v>
      </c>
    </row>
    <row r="85" customFormat="false" ht="15" hidden="false" customHeight="true" outlineLevel="0" collapsed="false">
      <c r="A85" s="9" t="s">
        <v>182</v>
      </c>
      <c r="B85" s="38" t="s">
        <v>106</v>
      </c>
      <c r="C85" s="39" t="s">
        <v>156</v>
      </c>
    </row>
    <row r="86" customFormat="false" ht="15" hidden="false" customHeight="true" outlineLevel="0" collapsed="false">
      <c r="A86" s="9" t="s">
        <v>183</v>
      </c>
      <c r="B86" s="38" t="s">
        <v>106</v>
      </c>
      <c r="C86" s="39" t="s">
        <v>156</v>
      </c>
    </row>
    <row r="87" customFormat="false" ht="15" hidden="false" customHeight="true" outlineLevel="0" collapsed="false">
      <c r="A87" s="9" t="s">
        <v>184</v>
      </c>
      <c r="B87" s="38" t="s">
        <v>106</v>
      </c>
      <c r="C87" s="39" t="s">
        <v>156</v>
      </c>
    </row>
    <row r="88" customFormat="false" ht="15" hidden="false" customHeight="true" outlineLevel="0" collapsed="false">
      <c r="A88" s="9" t="s">
        <v>185</v>
      </c>
      <c r="B88" s="38" t="s">
        <v>106</v>
      </c>
      <c r="C88" s="39" t="s">
        <v>156</v>
      </c>
    </row>
    <row r="89" customFormat="false" ht="15" hidden="false" customHeight="true" outlineLevel="0" collapsed="false">
      <c r="A89" s="9" t="s">
        <v>186</v>
      </c>
      <c r="B89" s="38" t="n">
        <v>52</v>
      </c>
      <c r="C89" s="39" t="s">
        <v>156</v>
      </c>
    </row>
    <row r="90" customFormat="false" ht="15" hidden="false" customHeight="true" outlineLevel="0" collapsed="false">
      <c r="A90" s="9" t="s">
        <v>187</v>
      </c>
      <c r="B90" s="38" t="n">
        <v>93</v>
      </c>
      <c r="C90" s="39" t="s">
        <v>156</v>
      </c>
    </row>
    <row r="91" customFormat="false" ht="15" hidden="false" customHeight="true" outlineLevel="0" collapsed="false">
      <c r="A91" s="9" t="s">
        <v>188</v>
      </c>
      <c r="B91" s="38" t="n">
        <v>49</v>
      </c>
      <c r="C91" s="39" t="s">
        <v>156</v>
      </c>
    </row>
    <row r="92" customFormat="false" ht="15" hidden="false" customHeight="true" outlineLevel="0" collapsed="false">
      <c r="A92" s="9" t="s">
        <v>189</v>
      </c>
      <c r="B92" s="38" t="n">
        <v>79</v>
      </c>
      <c r="C92" s="39" t="s">
        <v>156</v>
      </c>
    </row>
    <row r="93" customFormat="false" ht="15" hidden="false" customHeight="true" outlineLevel="0" collapsed="false">
      <c r="A93" s="9" t="s">
        <v>63</v>
      </c>
      <c r="B93" s="38" t="n">
        <v>1.9</v>
      </c>
      <c r="C93" s="39" t="s">
        <v>156</v>
      </c>
    </row>
    <row r="94" customFormat="false" ht="15" hidden="false" customHeight="true" outlineLevel="0" collapsed="false">
      <c r="A94" s="9" t="s">
        <v>190</v>
      </c>
      <c r="B94" s="38" t="n">
        <v>4.13</v>
      </c>
      <c r="C94" s="39" t="s">
        <v>156</v>
      </c>
    </row>
    <row r="95" customFormat="false" ht="15" hidden="false" customHeight="true" outlineLevel="0" collapsed="false">
      <c r="A95" s="9" t="s">
        <v>191</v>
      </c>
      <c r="B95" s="38" t="n">
        <v>2.95</v>
      </c>
      <c r="C95" s="39" t="s">
        <v>156</v>
      </c>
    </row>
    <row r="96" customFormat="false" ht="15" hidden="false" customHeight="true" outlineLevel="0" collapsed="false">
      <c r="A96" s="9" t="s">
        <v>192</v>
      </c>
      <c r="B96" s="38" t="n">
        <v>28</v>
      </c>
      <c r="C96" s="39" t="s">
        <v>156</v>
      </c>
      <c r="D96" s="40" t="n">
        <v>250</v>
      </c>
    </row>
    <row r="97" customFormat="false" ht="15" hidden="false" customHeight="true" outlineLevel="0" collapsed="false">
      <c r="A97" s="9" t="s">
        <v>193</v>
      </c>
      <c r="B97" s="38" t="n">
        <v>50</v>
      </c>
      <c r="C97" s="39" t="s">
        <v>156</v>
      </c>
      <c r="D97" s="40" t="n">
        <v>500</v>
      </c>
    </row>
    <row r="98" customFormat="false" ht="15" hidden="false" customHeight="true" outlineLevel="0" collapsed="false">
      <c r="A98" s="9" t="s">
        <v>194</v>
      </c>
      <c r="B98" s="38" t="n">
        <v>54</v>
      </c>
      <c r="C98" s="39" t="s">
        <v>156</v>
      </c>
      <c r="D98" s="40" t="n">
        <v>500</v>
      </c>
    </row>
    <row r="99" customFormat="false" ht="15" hidden="false" customHeight="true" outlineLevel="0" collapsed="false">
      <c r="A99" s="9" t="s">
        <v>195</v>
      </c>
      <c r="B99" s="38" t="n">
        <v>50</v>
      </c>
      <c r="C99" s="39" t="s">
        <v>156</v>
      </c>
      <c r="D99" s="40" t="n">
        <v>1000</v>
      </c>
    </row>
    <row r="100" customFormat="false" ht="15" hidden="false" customHeight="true" outlineLevel="0" collapsed="false">
      <c r="A100" s="9" t="s">
        <v>34</v>
      </c>
      <c r="B100" s="38" t="n">
        <v>54</v>
      </c>
      <c r="C100" s="39" t="s">
        <v>156</v>
      </c>
      <c r="D100" s="40" t="n">
        <v>1000</v>
      </c>
    </row>
    <row r="101" customFormat="false" ht="15" hidden="false" customHeight="true" outlineLevel="0" collapsed="false">
      <c r="A101" s="9" t="s">
        <v>196</v>
      </c>
      <c r="B101" s="38" t="n">
        <v>56</v>
      </c>
      <c r="C101" s="39" t="s">
        <v>156</v>
      </c>
      <c r="D101" s="40" t="n">
        <v>2000</v>
      </c>
    </row>
    <row r="102" customFormat="false" ht="15" hidden="false" customHeight="true" outlineLevel="0" collapsed="false">
      <c r="A102" s="9" t="s">
        <v>197</v>
      </c>
      <c r="B102" s="38" t="n">
        <v>61</v>
      </c>
      <c r="C102" s="39" t="s">
        <v>156</v>
      </c>
      <c r="D102" s="40" t="n">
        <v>2000</v>
      </c>
    </row>
    <row r="103" customFormat="false" ht="15" hidden="false" customHeight="true" outlineLevel="0" collapsed="false">
      <c r="A103" s="9" t="s">
        <v>198</v>
      </c>
      <c r="B103" s="38" t="n">
        <v>35.8</v>
      </c>
      <c r="C103" s="39" t="s">
        <v>156</v>
      </c>
      <c r="D103" s="40" t="n">
        <v>250</v>
      </c>
    </row>
    <row r="104" customFormat="false" ht="15" hidden="false" customHeight="true" outlineLevel="0" collapsed="false">
      <c r="A104" s="9" t="s">
        <v>199</v>
      </c>
      <c r="B104" s="38" t="n">
        <v>64.4</v>
      </c>
      <c r="C104" s="39" t="s">
        <v>156</v>
      </c>
      <c r="D104" s="40" t="n">
        <v>500</v>
      </c>
    </row>
    <row r="105" customFormat="false" ht="15" hidden="false" customHeight="true" outlineLevel="0" collapsed="false">
      <c r="A105" s="9" t="s">
        <v>200</v>
      </c>
      <c r="B105" s="38" t="n">
        <v>61.2</v>
      </c>
      <c r="C105" s="39" t="s">
        <v>156</v>
      </c>
      <c r="D105" s="40" t="n">
        <v>650</v>
      </c>
    </row>
    <row r="106" customFormat="false" ht="15" hidden="false" customHeight="true" outlineLevel="0" collapsed="false">
      <c r="A106" s="9" t="s">
        <v>201</v>
      </c>
      <c r="B106" s="38" t="n">
        <v>64.4</v>
      </c>
      <c r="C106" s="39" t="s">
        <v>156</v>
      </c>
      <c r="D106" s="40" t="n">
        <v>500</v>
      </c>
    </row>
    <row r="107" customFormat="false" ht="15" hidden="false" customHeight="true" outlineLevel="0" collapsed="false">
      <c r="A107" s="9" t="s">
        <v>202</v>
      </c>
      <c r="B107" s="38" t="n">
        <v>71.7</v>
      </c>
      <c r="C107" s="39" t="s">
        <v>156</v>
      </c>
      <c r="D107" s="40" t="n">
        <v>1300</v>
      </c>
    </row>
    <row r="108" customFormat="false" ht="15" hidden="false" customHeight="true" outlineLevel="0" collapsed="false">
      <c r="A108" s="9" t="s">
        <v>203</v>
      </c>
      <c r="B108" s="38" t="n">
        <v>75.3</v>
      </c>
      <c r="C108" s="39" t="s">
        <v>156</v>
      </c>
      <c r="D108" s="40" t="n">
        <v>1000</v>
      </c>
    </row>
    <row r="109" customFormat="false" ht="15" hidden="false" customHeight="true" outlineLevel="0" collapsed="false">
      <c r="A109" s="9" t="s">
        <v>204</v>
      </c>
      <c r="B109" s="38" t="n">
        <v>61.7</v>
      </c>
      <c r="C109" s="39" t="s">
        <v>156</v>
      </c>
      <c r="D109" s="40" t="n">
        <v>1000</v>
      </c>
    </row>
    <row r="110" customFormat="false" ht="15" hidden="false" customHeight="true" outlineLevel="0" collapsed="false">
      <c r="A110" s="9" t="s">
        <v>205</v>
      </c>
      <c r="B110" s="38" t="n">
        <v>0.3</v>
      </c>
      <c r="C110" s="39" t="s">
        <v>156</v>
      </c>
      <c r="D110" s="40" t="n">
        <v>1680</v>
      </c>
    </row>
    <row r="111" customFormat="false" ht="15" hidden="false" customHeight="true" outlineLevel="0" collapsed="false">
      <c r="A111" s="9" t="s">
        <v>50</v>
      </c>
      <c r="B111" s="38" t="n">
        <v>0.5</v>
      </c>
      <c r="C111" s="39" t="s">
        <v>156</v>
      </c>
      <c r="D111" s="40" t="n">
        <v>2500</v>
      </c>
    </row>
    <row r="112" customFormat="false" ht="15" hidden="false" customHeight="true" outlineLevel="0" collapsed="false">
      <c r="A112" s="9" t="s">
        <v>206</v>
      </c>
      <c r="B112" s="38" t="n">
        <v>0.8</v>
      </c>
      <c r="C112" s="39" t="s">
        <v>156</v>
      </c>
      <c r="D112" s="40" t="n">
        <v>3300</v>
      </c>
    </row>
    <row r="113" customFormat="false" ht="15" hidden="false" customHeight="true" outlineLevel="0" collapsed="false">
      <c r="A113" s="9" t="s">
        <v>207</v>
      </c>
      <c r="B113" s="38" t="n">
        <v>1.1</v>
      </c>
      <c r="C113" s="39" t="s">
        <v>156</v>
      </c>
      <c r="D113" s="40" t="n">
        <v>5650</v>
      </c>
    </row>
    <row r="114" customFormat="false" ht="15" hidden="false" customHeight="true" outlineLevel="0" collapsed="false">
      <c r="A114" s="9" t="s">
        <v>208</v>
      </c>
      <c r="B114" s="38" t="n">
        <v>1.5</v>
      </c>
      <c r="C114" s="39" t="s">
        <v>156</v>
      </c>
      <c r="D114" s="40" t="n">
        <v>8400</v>
      </c>
    </row>
    <row r="115" customFormat="false" ht="15" hidden="false" customHeight="true" outlineLevel="0" collapsed="false">
      <c r="A115" s="9" t="s">
        <v>209</v>
      </c>
      <c r="B115" s="38" t="n">
        <v>2.3</v>
      </c>
      <c r="C115" s="39" t="s">
        <v>156</v>
      </c>
      <c r="D115" s="40" t="n">
        <v>12500</v>
      </c>
    </row>
    <row r="116" customFormat="false" ht="15" hidden="false" customHeight="true" outlineLevel="0" collapsed="false">
      <c r="A116" s="9" t="s">
        <v>210</v>
      </c>
      <c r="B116" s="38" t="s">
        <v>106</v>
      </c>
      <c r="C116" s="39" t="s">
        <v>156</v>
      </c>
      <c r="D116" s="40" t="n">
        <v>2000</v>
      </c>
    </row>
    <row r="117" customFormat="false" ht="15" hidden="false" customHeight="true" outlineLevel="0" collapsed="false">
      <c r="A117" s="9" t="s">
        <v>211</v>
      </c>
      <c r="B117" s="38" t="s">
        <v>106</v>
      </c>
      <c r="C117" s="39" t="s">
        <v>156</v>
      </c>
      <c r="D117" s="40" t="n">
        <v>2000</v>
      </c>
    </row>
    <row r="118" customFormat="false" ht="15" hidden="false" customHeight="true" outlineLevel="0" collapsed="false">
      <c r="A118" s="9" t="s">
        <v>212</v>
      </c>
      <c r="B118" s="38" t="s">
        <v>106</v>
      </c>
      <c r="C118" s="39" t="s">
        <v>156</v>
      </c>
      <c r="D118" s="40" t="n">
        <v>2000</v>
      </c>
    </row>
    <row r="119" customFormat="false" ht="15" hidden="false" customHeight="true" outlineLevel="0" collapsed="false">
      <c r="A119" s="9" t="s">
        <v>213</v>
      </c>
      <c r="B119" s="38" t="s">
        <v>106</v>
      </c>
      <c r="C119" s="39" t="s">
        <v>156</v>
      </c>
      <c r="D119" s="40" t="n">
        <v>2000</v>
      </c>
    </row>
    <row r="120" customFormat="false" ht="15" hidden="false" customHeight="true" outlineLevel="0" collapsed="false">
      <c r="A120" s="9" t="s">
        <v>214</v>
      </c>
      <c r="B120" s="38" t="s">
        <v>106</v>
      </c>
      <c r="C120" s="39" t="s">
        <v>156</v>
      </c>
      <c r="D120" s="40" t="n">
        <v>2000</v>
      </c>
    </row>
    <row r="121" customFormat="false" ht="15" hidden="false" customHeight="true" outlineLevel="0" collapsed="false">
      <c r="A121" s="9" t="s">
        <v>215</v>
      </c>
      <c r="B121" s="38" t="n">
        <v>0.04</v>
      </c>
      <c r="C121" s="39" t="s">
        <v>156</v>
      </c>
      <c r="D121" s="40" t="n">
        <v>1000</v>
      </c>
    </row>
    <row r="122" customFormat="false" ht="15" hidden="false" customHeight="true" outlineLevel="0" collapsed="false">
      <c r="A122" s="9" t="s">
        <v>216</v>
      </c>
      <c r="B122" s="38" t="n">
        <v>0.06</v>
      </c>
      <c r="C122" s="39" t="s">
        <v>156</v>
      </c>
      <c r="D122" s="40" t="n">
        <v>1000</v>
      </c>
    </row>
    <row r="123" customFormat="false" ht="15" hidden="false" customHeight="true" outlineLevel="0" collapsed="false">
      <c r="A123" s="9" t="s">
        <v>217</v>
      </c>
      <c r="B123" s="38" t="n">
        <v>0.09</v>
      </c>
      <c r="C123" s="39" t="s">
        <v>156</v>
      </c>
      <c r="D123" s="40" t="n">
        <v>1000</v>
      </c>
    </row>
    <row r="124" customFormat="false" ht="15" hidden="false" customHeight="true" outlineLevel="0" collapsed="false">
      <c r="A124" s="9" t="s">
        <v>218</v>
      </c>
      <c r="B124" s="38" t="n">
        <v>0.134</v>
      </c>
      <c r="C124" s="39" t="s">
        <v>156</v>
      </c>
      <c r="D124" s="40" t="n">
        <v>1000</v>
      </c>
    </row>
    <row r="125" customFormat="false" ht="15" hidden="false" customHeight="true" outlineLevel="0" collapsed="false">
      <c r="A125" s="9" t="s">
        <v>219</v>
      </c>
      <c r="B125" s="38" t="n">
        <v>0.18</v>
      </c>
      <c r="C125" s="39" t="s">
        <v>156</v>
      </c>
      <c r="D125" s="40" t="n">
        <v>1000</v>
      </c>
    </row>
    <row r="126" customFormat="false" ht="15" hidden="false" customHeight="true" outlineLevel="0" collapsed="false">
      <c r="A126" s="9" t="s">
        <v>220</v>
      </c>
      <c r="B126" s="38" t="n">
        <v>0.255</v>
      </c>
      <c r="C126" s="39" t="s">
        <v>156</v>
      </c>
      <c r="D126" s="40" t="n">
        <v>1000</v>
      </c>
    </row>
    <row r="127" customFormat="false" ht="15" hidden="false" customHeight="true" outlineLevel="0" collapsed="false">
      <c r="A127" s="9" t="s">
        <v>221</v>
      </c>
      <c r="B127" s="38" t="n">
        <v>0.32</v>
      </c>
      <c r="C127" s="39" t="s">
        <v>156</v>
      </c>
      <c r="D127" s="40" t="n">
        <v>1000</v>
      </c>
    </row>
    <row r="128" customFormat="false" ht="15" hidden="false" customHeight="true" outlineLevel="0" collapsed="false">
      <c r="A128" s="9" t="s">
        <v>222</v>
      </c>
      <c r="B128" s="38" t="n">
        <v>0.4</v>
      </c>
      <c r="C128" s="39" t="s">
        <v>156</v>
      </c>
      <c r="D128" s="40" t="n">
        <v>1000</v>
      </c>
    </row>
    <row r="129" customFormat="false" ht="15" hidden="false" customHeight="true" outlineLevel="0" collapsed="false">
      <c r="A129" s="9" t="s">
        <v>223</v>
      </c>
      <c r="B129" s="38" t="n">
        <v>0.48</v>
      </c>
      <c r="C129" s="39" t="s">
        <v>156</v>
      </c>
      <c r="D129" s="40" t="n">
        <v>1000</v>
      </c>
    </row>
    <row r="130" customFormat="false" ht="15" hidden="false" customHeight="true" outlineLevel="0" collapsed="false">
      <c r="A130" s="9" t="s">
        <v>224</v>
      </c>
      <c r="B130" s="38" t="n">
        <v>0.57</v>
      </c>
      <c r="C130" s="39" t="s">
        <v>156</v>
      </c>
      <c r="D130" s="40" t="n">
        <v>1000</v>
      </c>
    </row>
    <row r="131" customFormat="false" ht="15" hidden="false" customHeight="true" outlineLevel="0" collapsed="false">
      <c r="A131" s="9" t="s">
        <v>59</v>
      </c>
      <c r="B131" s="38" t="n">
        <v>0.04</v>
      </c>
      <c r="C131" s="39" t="s">
        <v>156</v>
      </c>
      <c r="D131" s="40" t="n">
        <v>2000</v>
      </c>
    </row>
    <row r="132" customFormat="false" ht="15" hidden="false" customHeight="true" outlineLevel="0" collapsed="false">
      <c r="A132" s="9" t="s">
        <v>225</v>
      </c>
      <c r="B132" s="38" t="n">
        <v>0.06</v>
      </c>
      <c r="C132" s="39" t="s">
        <v>156</v>
      </c>
      <c r="D132" s="40" t="n">
        <v>2000</v>
      </c>
    </row>
    <row r="133" customFormat="false" ht="15" hidden="false" customHeight="true" outlineLevel="0" collapsed="false">
      <c r="A133" s="9" t="s">
        <v>226</v>
      </c>
      <c r="B133" s="38" t="n">
        <v>0.09</v>
      </c>
      <c r="C133" s="39" t="s">
        <v>156</v>
      </c>
      <c r="D133" s="40" t="n">
        <v>2000</v>
      </c>
    </row>
    <row r="134" customFormat="false" ht="15" hidden="false" customHeight="true" outlineLevel="0" collapsed="false">
      <c r="A134" s="9" t="s">
        <v>227</v>
      </c>
      <c r="B134" s="38" t="n">
        <v>0.134</v>
      </c>
      <c r="C134" s="39" t="s">
        <v>156</v>
      </c>
      <c r="D134" s="40" t="n">
        <v>2000</v>
      </c>
    </row>
    <row r="135" customFormat="false" ht="15" hidden="false" customHeight="true" outlineLevel="0" collapsed="false">
      <c r="A135" s="9" t="s">
        <v>228</v>
      </c>
      <c r="B135" s="38" t="n">
        <v>0.18</v>
      </c>
      <c r="C135" s="39" t="s">
        <v>156</v>
      </c>
      <c r="D135" s="40" t="n">
        <v>2000</v>
      </c>
    </row>
    <row r="136" customFormat="false" ht="15" hidden="false" customHeight="true" outlineLevel="0" collapsed="false">
      <c r="A136" s="9" t="s">
        <v>229</v>
      </c>
      <c r="B136" s="38" t="n">
        <v>0.255</v>
      </c>
      <c r="C136" s="39" t="s">
        <v>156</v>
      </c>
      <c r="D136" s="40" t="n">
        <v>2000</v>
      </c>
    </row>
    <row r="137" customFormat="false" ht="15" hidden="false" customHeight="true" outlineLevel="0" collapsed="false">
      <c r="A137" s="9" t="s">
        <v>230</v>
      </c>
      <c r="B137" s="38" t="n">
        <v>0.32</v>
      </c>
      <c r="C137" s="39" t="s">
        <v>156</v>
      </c>
      <c r="D137" s="40" t="n">
        <v>2000</v>
      </c>
    </row>
    <row r="138" customFormat="false" ht="15" hidden="false" customHeight="true" outlineLevel="0" collapsed="false">
      <c r="A138" s="9" t="s">
        <v>231</v>
      </c>
      <c r="B138" s="38" t="n">
        <v>0.4</v>
      </c>
      <c r="C138" s="39" t="s">
        <v>156</v>
      </c>
      <c r="D138" s="40" t="n">
        <v>2000</v>
      </c>
    </row>
    <row r="139" customFormat="false" ht="15" hidden="false" customHeight="true" outlineLevel="0" collapsed="false">
      <c r="A139" s="9" t="s">
        <v>232</v>
      </c>
      <c r="B139" s="38" t="n">
        <v>0.48</v>
      </c>
      <c r="C139" s="39" t="s">
        <v>156</v>
      </c>
      <c r="D139" s="40" t="n">
        <v>2000</v>
      </c>
    </row>
    <row r="140" customFormat="false" ht="15" hidden="false" customHeight="true" outlineLevel="0" collapsed="false">
      <c r="A140" s="9" t="s">
        <v>233</v>
      </c>
      <c r="B140" s="38" t="n">
        <v>0.57</v>
      </c>
      <c r="C140" s="39" t="s">
        <v>156</v>
      </c>
      <c r="D140" s="40" t="n">
        <v>2000</v>
      </c>
    </row>
    <row r="141" customFormat="false" ht="15" hidden="false" customHeight="true" outlineLevel="0" collapsed="false">
      <c r="A141" s="9" t="s">
        <v>43</v>
      </c>
      <c r="B141" s="38" t="n">
        <v>0.109</v>
      </c>
      <c r="C141" s="39" t="s">
        <v>156</v>
      </c>
    </row>
    <row r="142" customFormat="false" ht="15" hidden="false" customHeight="true" outlineLevel="0" collapsed="false">
      <c r="A142" s="9" t="s">
        <v>234</v>
      </c>
      <c r="B142" s="38" t="n">
        <v>0.128</v>
      </c>
      <c r="C142" s="39" t="s">
        <v>156</v>
      </c>
    </row>
    <row r="143" customFormat="false" ht="15" hidden="false" customHeight="true" outlineLevel="0" collapsed="false">
      <c r="A143" s="9" t="s">
        <v>235</v>
      </c>
      <c r="B143" s="38" t="n">
        <v>0.151</v>
      </c>
      <c r="C143" s="39" t="s">
        <v>156</v>
      </c>
    </row>
    <row r="144" customFormat="false" ht="15" hidden="false" customHeight="true" outlineLevel="0" collapsed="false">
      <c r="A144" s="9" t="s">
        <v>236</v>
      </c>
      <c r="B144" s="38" t="n">
        <v>0.181</v>
      </c>
      <c r="C144" s="39" t="s">
        <v>156</v>
      </c>
    </row>
    <row r="145" customFormat="false" ht="15" hidden="false" customHeight="true" outlineLevel="0" collapsed="false">
      <c r="A145" s="9" t="s">
        <v>237</v>
      </c>
      <c r="B145" s="38" t="n">
        <v>0.201</v>
      </c>
      <c r="C145" s="39" t="s">
        <v>156</v>
      </c>
    </row>
    <row r="146" customFormat="false" ht="15" hidden="false" customHeight="true" outlineLevel="0" collapsed="false">
      <c r="A146" s="9" t="s">
        <v>238</v>
      </c>
      <c r="B146" s="38" t="n">
        <v>0.232</v>
      </c>
      <c r="C146" s="39" t="s">
        <v>156</v>
      </c>
    </row>
    <row r="147" customFormat="false" ht="15" hidden="false" customHeight="true" outlineLevel="0" collapsed="false">
      <c r="A147" s="9" t="s">
        <v>239</v>
      </c>
      <c r="B147" s="38" t="n">
        <v>0.111</v>
      </c>
      <c r="C147" s="39" t="s">
        <v>156</v>
      </c>
    </row>
    <row r="148" customFormat="false" ht="15" hidden="false" customHeight="true" outlineLevel="0" collapsed="false">
      <c r="A148" s="9" t="s">
        <v>240</v>
      </c>
      <c r="B148" s="38" t="n">
        <v>0.132</v>
      </c>
      <c r="C148" s="39" t="s">
        <v>156</v>
      </c>
    </row>
    <row r="149" customFormat="false" ht="15" hidden="false" customHeight="true" outlineLevel="0" collapsed="false">
      <c r="A149" s="9" t="s">
        <v>241</v>
      </c>
      <c r="B149" s="38" t="n">
        <v>0.156</v>
      </c>
      <c r="C149" s="39" t="s">
        <v>156</v>
      </c>
    </row>
    <row r="150" customFormat="false" ht="15" hidden="false" customHeight="true" outlineLevel="0" collapsed="false">
      <c r="A150" s="9" t="s">
        <v>242</v>
      </c>
      <c r="B150" s="38" t="n">
        <v>0.186</v>
      </c>
      <c r="C150" s="39" t="s">
        <v>156</v>
      </c>
    </row>
    <row r="151" customFormat="false" ht="15" hidden="false" customHeight="true" outlineLevel="0" collapsed="false">
      <c r="A151" s="9" t="s">
        <v>243</v>
      </c>
      <c r="B151" s="38" t="n">
        <v>0.206</v>
      </c>
      <c r="C151" s="39" t="s">
        <v>156</v>
      </c>
    </row>
    <row r="152" customFormat="false" ht="15" hidden="false" customHeight="true" outlineLevel="0" collapsed="false">
      <c r="A152" s="9" t="s">
        <v>244</v>
      </c>
      <c r="B152" s="38" t="n">
        <v>0.241</v>
      </c>
      <c r="C152" s="39" t="s">
        <v>156</v>
      </c>
    </row>
    <row r="153" customFormat="false" ht="15" hidden="false" customHeight="true" outlineLevel="0" collapsed="false">
      <c r="A153" s="9" t="s">
        <v>245</v>
      </c>
      <c r="B153" s="38" t="n">
        <v>0.574</v>
      </c>
      <c r="C153" s="39" t="s">
        <v>156</v>
      </c>
    </row>
    <row r="154" customFormat="false" ht="15" hidden="false" customHeight="true" outlineLevel="0" collapsed="false">
      <c r="A154" s="9" t="s">
        <v>246</v>
      </c>
      <c r="B154" s="38" t="n">
        <v>0.621</v>
      </c>
      <c r="C154" s="39" t="s">
        <v>156</v>
      </c>
    </row>
    <row r="155" customFormat="false" ht="15" hidden="false" customHeight="true" outlineLevel="0" collapsed="false">
      <c r="A155" s="9" t="s">
        <v>247</v>
      </c>
      <c r="B155" s="38" t="n">
        <v>0.67</v>
      </c>
      <c r="C155" s="39" t="s">
        <v>156</v>
      </c>
    </row>
    <row r="156" customFormat="false" ht="15" hidden="false" customHeight="true" outlineLevel="0" collapsed="false">
      <c r="A156" s="9" t="s">
        <v>248</v>
      </c>
      <c r="B156" s="38" t="n">
        <v>0.956</v>
      </c>
      <c r="C156" s="39" t="s">
        <v>156</v>
      </c>
    </row>
    <row r="157" customFormat="false" ht="15" hidden="false" customHeight="true" outlineLevel="0" collapsed="false">
      <c r="A157" s="9" t="s">
        <v>249</v>
      </c>
      <c r="B157" s="38" t="n">
        <v>1.064</v>
      </c>
      <c r="C157" s="39" t="s">
        <v>156</v>
      </c>
    </row>
    <row r="158" customFormat="false" ht="15" hidden="false" customHeight="true" outlineLevel="0" collapsed="false">
      <c r="A158" s="9" t="s">
        <v>250</v>
      </c>
      <c r="B158" s="38" t="n">
        <v>1.169</v>
      </c>
      <c r="C158" s="39" t="s">
        <v>156</v>
      </c>
    </row>
    <row r="159" customFormat="false" ht="15" hidden="false" customHeight="true" outlineLevel="0" collapsed="false">
      <c r="A159" s="9" t="s">
        <v>251</v>
      </c>
      <c r="B159" s="38" t="n">
        <v>0.134</v>
      </c>
      <c r="C159" s="39" t="s">
        <v>156</v>
      </c>
    </row>
    <row r="160" customFormat="false" ht="15" hidden="false" customHeight="true" outlineLevel="0" collapsed="false">
      <c r="A160" s="9" t="s">
        <v>45</v>
      </c>
      <c r="B160" s="38" t="n">
        <v>0.161</v>
      </c>
      <c r="C160" s="39" t="s">
        <v>156</v>
      </c>
    </row>
    <row r="161" customFormat="false" ht="15" hidden="false" customHeight="true" outlineLevel="0" collapsed="false">
      <c r="A161" s="9" t="s">
        <v>252</v>
      </c>
      <c r="B161" s="38" t="n">
        <v>0.188</v>
      </c>
      <c r="C161" s="39" t="s">
        <v>156</v>
      </c>
    </row>
    <row r="162" customFormat="false" ht="15" hidden="false" customHeight="true" outlineLevel="0" collapsed="false">
      <c r="A162" s="9" t="s">
        <v>253</v>
      </c>
      <c r="B162" s="38" t="n">
        <v>0.228</v>
      </c>
      <c r="C162" s="39" t="s">
        <v>156</v>
      </c>
    </row>
    <row r="163" customFormat="false" ht="15" hidden="false" customHeight="true" outlineLevel="0" collapsed="false">
      <c r="A163" s="9" t="s">
        <v>254</v>
      </c>
      <c r="B163" s="38" t="n">
        <v>0.244</v>
      </c>
      <c r="C163" s="39" t="s">
        <v>156</v>
      </c>
    </row>
    <row r="164" customFormat="false" ht="15" hidden="false" customHeight="true" outlineLevel="0" collapsed="false">
      <c r="A164" s="9" t="s">
        <v>255</v>
      </c>
      <c r="B164" s="38" t="n">
        <v>0.27</v>
      </c>
      <c r="C164" s="39" t="s">
        <v>156</v>
      </c>
    </row>
    <row r="165" customFormat="false" ht="15" hidden="false" customHeight="true" outlineLevel="0" collapsed="false">
      <c r="A165" s="9" t="s">
        <v>256</v>
      </c>
      <c r="B165" s="38" t="n">
        <v>0.136</v>
      </c>
      <c r="C165" s="39" t="s">
        <v>156</v>
      </c>
    </row>
    <row r="166" customFormat="false" ht="15" hidden="false" customHeight="true" outlineLevel="0" collapsed="false">
      <c r="A166" s="9" t="s">
        <v>257</v>
      </c>
      <c r="B166" s="38" t="n">
        <v>0.161</v>
      </c>
      <c r="C166" s="39" t="s">
        <v>156</v>
      </c>
    </row>
    <row r="167" customFormat="false" ht="15" hidden="false" customHeight="true" outlineLevel="0" collapsed="false">
      <c r="A167" s="9" t="s">
        <v>258</v>
      </c>
      <c r="B167" s="38" t="n">
        <v>0.193</v>
      </c>
      <c r="C167" s="39" t="s">
        <v>156</v>
      </c>
    </row>
    <row r="168" customFormat="false" ht="15" hidden="false" customHeight="true" outlineLevel="0" collapsed="false">
      <c r="A168" s="9" t="s">
        <v>259</v>
      </c>
      <c r="B168" s="38" t="n">
        <v>0.228</v>
      </c>
      <c r="C168" s="39" t="s">
        <v>156</v>
      </c>
    </row>
    <row r="169" customFormat="false" ht="15" hidden="false" customHeight="true" outlineLevel="0" collapsed="false">
      <c r="A169" s="9" t="s">
        <v>260</v>
      </c>
      <c r="B169" s="38" t="n">
        <v>0.243</v>
      </c>
      <c r="C169" s="39" t="s">
        <v>156</v>
      </c>
    </row>
    <row r="170" customFormat="false" ht="15" hidden="false" customHeight="true" outlineLevel="0" collapsed="false">
      <c r="A170" s="9" t="s">
        <v>261</v>
      </c>
      <c r="B170" s="38" t="n">
        <v>0.271</v>
      </c>
      <c r="C170" s="39" t="s">
        <v>156</v>
      </c>
    </row>
    <row r="171" customFormat="false" ht="15" hidden="false" customHeight="true" outlineLevel="0" collapsed="false">
      <c r="A171" s="9" t="s">
        <v>262</v>
      </c>
      <c r="B171" s="38" t="n">
        <v>0.673</v>
      </c>
      <c r="C171" s="39" t="s">
        <v>156</v>
      </c>
    </row>
    <row r="172" customFormat="false" ht="15" hidden="false" customHeight="true" outlineLevel="0" collapsed="false">
      <c r="A172" s="9" t="s">
        <v>263</v>
      </c>
      <c r="B172" s="38" t="n">
        <v>0.714</v>
      </c>
      <c r="C172" s="39" t="s">
        <v>156</v>
      </c>
    </row>
    <row r="173" customFormat="false" ht="15" hidden="false" customHeight="true" outlineLevel="0" collapsed="false">
      <c r="A173" s="9" t="s">
        <v>264</v>
      </c>
      <c r="B173" s="38" t="n">
        <v>0.772</v>
      </c>
      <c r="C173" s="39" t="s">
        <v>156</v>
      </c>
    </row>
    <row r="174" customFormat="false" ht="15" hidden="false" customHeight="true" outlineLevel="0" collapsed="false">
      <c r="A174" s="9" t="s">
        <v>265</v>
      </c>
      <c r="B174" s="38" t="n">
        <v>1.06</v>
      </c>
      <c r="C174" s="39" t="s">
        <v>156</v>
      </c>
    </row>
    <row r="175" customFormat="false" ht="15" hidden="false" customHeight="true" outlineLevel="0" collapsed="false">
      <c r="A175" s="9" t="s">
        <v>266</v>
      </c>
      <c r="B175" s="38" t="n">
        <v>1.167</v>
      </c>
      <c r="C175" s="39" t="s">
        <v>156</v>
      </c>
    </row>
    <row r="176" customFormat="false" ht="15" hidden="false" customHeight="true" outlineLevel="0" collapsed="false">
      <c r="A176" s="9" t="s">
        <v>267</v>
      </c>
      <c r="B176" s="38" t="n">
        <v>1.266</v>
      </c>
      <c r="C176" s="39" t="s">
        <v>156</v>
      </c>
    </row>
    <row r="177" customFormat="false" ht="15" hidden="false" customHeight="true" outlineLevel="0" collapsed="false">
      <c r="A177" s="9" t="s">
        <v>268</v>
      </c>
      <c r="B177" s="38" t="n">
        <v>8.32</v>
      </c>
      <c r="C177" s="39" t="s">
        <v>156</v>
      </c>
    </row>
    <row r="178" customFormat="false" ht="15" hidden="false" customHeight="true" outlineLevel="0" collapsed="false">
      <c r="A178" s="9" t="s">
        <v>269</v>
      </c>
      <c r="B178" s="38" t="n">
        <v>8.16</v>
      </c>
      <c r="C178" s="39" t="s">
        <v>156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tableParts>
    <tablePart r:id="rId3"/>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H7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9"/>
    <col collapsed="false" customWidth="true" hidden="false" outlineLevel="0" max="2" min="2" style="0" width="42"/>
    <col collapsed="false" customWidth="true" hidden="false" outlineLevel="0" max="3" min="3" style="0" width="5"/>
    <col collapsed="false" customWidth="true" hidden="false" outlineLevel="0" max="4" min="4" style="0" width="7"/>
    <col collapsed="false" customWidth="true" hidden="false" outlineLevel="0" max="5" min="5" style="0" width="11"/>
    <col collapsed="false" customWidth="true" hidden="false" outlineLevel="0" max="6" min="6" style="0" width="10"/>
    <col collapsed="false" customWidth="true" hidden="false" outlineLevel="0" max="7" min="7" style="0" width="12"/>
    <col collapsed="false" customWidth="true" hidden="false" outlineLevel="0" max="8" min="8" style="0" width="8"/>
  </cols>
  <sheetData>
    <row r="1" customFormat="false" ht="21.75" hidden="false" customHeight="true" outlineLevel="0" collapsed="false">
      <c r="A1" s="44" t="s">
        <v>270</v>
      </c>
      <c r="B1" s="44"/>
      <c r="C1" s="44"/>
      <c r="D1" s="44"/>
      <c r="E1" s="44"/>
      <c r="F1" s="44"/>
      <c r="G1" s="44"/>
      <c r="H1" s="44"/>
    </row>
    <row r="2" customFormat="false" ht="15" hidden="false" customHeight="false" outlineLevel="0" collapsed="false">
      <c r="A2" s="45" t="s">
        <v>271</v>
      </c>
      <c r="B2" s="45"/>
      <c r="C2" s="45"/>
      <c r="D2" s="45"/>
      <c r="E2" s="45"/>
      <c r="F2" s="45"/>
      <c r="G2" s="45"/>
      <c r="H2" s="45"/>
    </row>
    <row r="4" customFormat="false" ht="12.75" hidden="false" customHeight="true" outlineLevel="0" collapsed="false">
      <c r="A4" s="46" t="s">
        <v>272</v>
      </c>
      <c r="B4" s="47" t="str">
        <f aca="false">IF(Calc!B1="","",Calc!B1)</f>
        <v>The Ballroom</v>
      </c>
      <c r="C4" s="47"/>
      <c r="D4" s="48" t="s">
        <v>273</v>
      </c>
      <c r="E4" s="48"/>
      <c r="F4" s="48"/>
      <c r="G4" s="47" t="str">
        <f aca="false">IF(Calc!E1="","",Calc!E1)</f>
        <v>Draft</v>
      </c>
      <c r="H4" s="47"/>
    </row>
    <row r="5" customFormat="false" ht="12.75" hidden="false" customHeight="true" outlineLevel="0" collapsed="false">
      <c r="A5" s="46" t="s">
        <v>274</v>
      </c>
      <c r="B5" s="47" t="str">
        <f aca="false">IF(Calc!B4="","",Calc!B4)</f>
        <v/>
      </c>
      <c r="C5" s="47"/>
      <c r="D5" s="48" t="s">
        <v>275</v>
      </c>
      <c r="E5" s="48"/>
      <c r="F5" s="48"/>
      <c r="G5" s="47" t="str">
        <f aca="false">IF(Calc!E2="","",Calc!E2)</f>
        <v/>
      </c>
      <c r="H5" s="47"/>
    </row>
    <row r="6" customFormat="false" ht="12.75" hidden="false" customHeight="true" outlineLevel="0" collapsed="false">
      <c r="A6" s="46" t="s">
        <v>276</v>
      </c>
      <c r="B6" s="47" t="str">
        <f aca="false">IF(Calc!B5="","",Calc!B5)</f>
        <v>Main Hang Left</v>
      </c>
      <c r="C6" s="47"/>
      <c r="D6" s="48" t="s">
        <v>277</v>
      </c>
      <c r="E6" s="48"/>
      <c r="F6" s="48"/>
      <c r="G6" s="49" t="str">
        <f aca="false">IF(Calc!B2="","",Calc!B2)</f>
        <v/>
      </c>
      <c r="H6" s="49"/>
    </row>
    <row r="7" customFormat="false" ht="12.75" hidden="false" customHeight="true" outlineLevel="0" collapsed="false">
      <c r="A7" s="46" t="s">
        <v>278</v>
      </c>
      <c r="B7" s="47" t="str">
        <f aca="false">IF(Calc!B6="","",Calc!B6)</f>
        <v/>
      </c>
      <c r="C7" s="47"/>
      <c r="D7" s="48" t="s">
        <v>279</v>
      </c>
      <c r="E7" s="48"/>
      <c r="F7" s="48"/>
      <c r="G7" s="47" t="str">
        <f aca="false">IF(Calc!B3="","",Calc!B3)</f>
        <v>Mark Hughes</v>
      </c>
      <c r="H7" s="47"/>
    </row>
    <row r="8" customFormat="false" ht="12.75" hidden="false" customHeight="true" outlineLevel="0" collapsed="false">
      <c r="A8" s="46" t="s">
        <v>8</v>
      </c>
      <c r="B8" s="50" t="str">
        <f aca="false">IF(Calc!E3="","– not stated –",Calc!E3)</f>
        <v>– not stated –</v>
      </c>
      <c r="C8" s="50"/>
      <c r="D8" s="48" t="s">
        <v>280</v>
      </c>
      <c r="E8" s="48"/>
      <c r="F8" s="48"/>
      <c r="G8" s="50" t="str">
        <f aca="false">IF(Calc!E5="","",Calc!E5)</f>
        <v>Body down</v>
      </c>
      <c r="H8" s="50"/>
    </row>
    <row r="9" customFormat="false" ht="12.75" hidden="false" customHeight="true" outlineLevel="0" collapsed="false">
      <c r="A9" s="46" t="s">
        <v>10</v>
      </c>
      <c r="B9" s="47" t="str">
        <f aca="false">IF(Calc!E4="","– not stated –",Calc!E4)</f>
        <v>Yes</v>
      </c>
      <c r="C9" s="47"/>
      <c r="D9" s="48" t="s">
        <v>281</v>
      </c>
      <c r="E9" s="48"/>
      <c r="F9" s="48"/>
      <c r="G9" s="49"/>
      <c r="H9" s="49"/>
    </row>
    <row r="11" customFormat="false" ht="21.75" hidden="false" customHeight="true" outlineLevel="0" collapsed="false">
      <c r="A11" s="51" t="s">
        <v>17</v>
      </c>
      <c r="B11" s="51" t="s">
        <v>18</v>
      </c>
      <c r="C11" s="51" t="s">
        <v>22</v>
      </c>
      <c r="D11" s="51" t="s">
        <v>20</v>
      </c>
      <c r="E11" s="51" t="s">
        <v>282</v>
      </c>
      <c r="F11" s="51" t="s">
        <v>80</v>
      </c>
      <c r="G11" s="51" t="str">
        <f aca="false">"Carried load (+"&amp;TEXT(Calc!F46,"0%")&amp;")"</f>
        <v>Carried load (+5%)</v>
      </c>
      <c r="H11" s="51" t="s">
        <v>27</v>
      </c>
    </row>
    <row r="12" customFormat="false" ht="11.25" hidden="false" customHeight="true" outlineLevel="0" collapsed="false">
      <c r="A12" s="52" t="str">
        <f aca="false">Calc!A9</f>
        <v>TOP RIGGING – above the hoist (list top-down)</v>
      </c>
      <c r="B12" s="52"/>
      <c r="C12" s="52"/>
      <c r="D12" s="52"/>
      <c r="E12" s="53" t="n">
        <f aca="false">Calc!G9</f>
        <v>0</v>
      </c>
      <c r="F12" s="6"/>
      <c r="G12" s="6"/>
      <c r="H12" s="6"/>
    </row>
    <row r="13" customFormat="false" ht="11.25" hidden="false" customHeight="true" outlineLevel="0" collapsed="false">
      <c r="A13" s="54" t="str">
        <f aca="false">IF(Calc!A10="","",Calc!A10)</f>
        <v>Steel</v>
      </c>
      <c r="B13" s="54" t="str">
        <f aca="false">IF(Calc!B10="","",Calc!B10)</f>
        <v>Wire rope sling 10mm 1,280 Kg SWL EN13414-1:2003</v>
      </c>
      <c r="C13" s="55" t="n">
        <f aca="false">IF(Calc!F10="","",Calc!F10)</f>
        <v>1</v>
      </c>
      <c r="D13" s="55" t="n">
        <f aca="false">IF(Calc!D10="","",Calc!D10)</f>
        <v>1</v>
      </c>
      <c r="E13" s="56" t="str">
        <f aca="false">IF(Calc!G10="","",Calc!G10)</f>
        <v>CHECK</v>
      </c>
      <c r="F13" s="57" t="n">
        <f aca="false">IF(Calc!H10="","",Calc!H10)</f>
        <v>1280</v>
      </c>
      <c r="G13" s="56" t="n">
        <f aca="false">IF(Calc!J10="","",Calc!J10)</f>
        <v>466.8951</v>
      </c>
      <c r="H13" s="58" t="n">
        <f aca="false">IF(Calc!K10="","",Calc!K10)</f>
        <v>0.364761796875</v>
      </c>
    </row>
    <row r="14" customFormat="false" ht="11.25" hidden="false" customHeight="true" outlineLevel="0" collapsed="false">
      <c r="A14" s="54" t="str">
        <f aca="false">IF(Calc!A11="","",Calc!A11)</f>
        <v/>
      </c>
      <c r="B14" s="54" t="str">
        <f aca="false">IF(Calc!B11="","",Calc!B11)</f>
        <v/>
      </c>
      <c r="C14" s="55" t="str">
        <f aca="false">IF(Calc!F11="","",Calc!F11)</f>
        <v/>
      </c>
      <c r="D14" s="55" t="str">
        <f aca="false">IF(Calc!D11="","",Calc!D11)</f>
        <v/>
      </c>
      <c r="E14" s="56" t="str">
        <f aca="false">IF(Calc!G11="","",Calc!G11)</f>
        <v/>
      </c>
      <c r="F14" s="57" t="str">
        <f aca="false">IF(Calc!H11="","",Calc!H11)</f>
        <v/>
      </c>
      <c r="G14" s="56" t="str">
        <f aca="false">IF(Calc!J11="","",Calc!J11)</f>
        <v/>
      </c>
      <c r="H14" s="58" t="str">
        <f aca="false">IF(Calc!K11="","",Calc!K11)</f>
        <v/>
      </c>
    </row>
    <row r="15" customFormat="false" ht="11.25" hidden="false" customHeight="true" outlineLevel="0" collapsed="false">
      <c r="A15" s="54" t="str">
        <f aca="false">IF(Calc!A12="","",Calc!A12)</f>
        <v/>
      </c>
      <c r="B15" s="54" t="str">
        <f aca="false">IF(Calc!B12="","",Calc!B12)</f>
        <v/>
      </c>
      <c r="C15" s="55" t="str">
        <f aca="false">IF(Calc!F12="","",Calc!F12)</f>
        <v/>
      </c>
      <c r="D15" s="55" t="str">
        <f aca="false">IF(Calc!D12="","",Calc!D12)</f>
        <v/>
      </c>
      <c r="E15" s="56" t="str">
        <f aca="false">IF(Calc!G12="","",Calc!G12)</f>
        <v/>
      </c>
      <c r="F15" s="57" t="str">
        <f aca="false">IF(Calc!H12="","",Calc!H12)</f>
        <v/>
      </c>
      <c r="G15" s="56" t="str">
        <f aca="false">IF(Calc!J12="","",Calc!J12)</f>
        <v/>
      </c>
      <c r="H15" s="58" t="str">
        <f aca="false">IF(Calc!K12="","",Calc!K12)</f>
        <v/>
      </c>
    </row>
    <row r="16" customFormat="false" ht="11.25" hidden="false" customHeight="true" outlineLevel="0" collapsed="false">
      <c r="A16" s="52" t="str">
        <f aca="false">Calc!A13</f>
        <v>HOIST – body, chain, bag and hoist cables</v>
      </c>
      <c r="B16" s="52"/>
      <c r="C16" s="52"/>
      <c r="D16" s="52"/>
      <c r="E16" s="53" t="n">
        <f aca="false">Calc!G13</f>
        <v>85.334</v>
      </c>
      <c r="F16" s="6"/>
      <c r="G16" s="6"/>
      <c r="H16" s="6"/>
    </row>
    <row r="17" customFormat="false" ht="11.25" hidden="false" customHeight="true" outlineLevel="0" collapsed="false">
      <c r="A17" s="54" t="str">
        <f aca="false">IF(Calc!A14="","",Calc!A14)</f>
        <v>Hoist</v>
      </c>
      <c r="B17" s="54" t="str">
        <f aca="false">IF(Calc!B14="","",Calc!B14)</f>
        <v>Lodestar D8 LL 1000 Kg 1 Fall 7.92 x 21.80</v>
      </c>
      <c r="C17" s="55" t="n">
        <f aca="false">IF(Calc!F14="","",Calc!F14)</f>
        <v>1</v>
      </c>
      <c r="D17" s="55" t="str">
        <f aca="false">IF(Calc!D14="","",Calc!D14)</f>
        <v/>
      </c>
      <c r="E17" s="56" t="n">
        <f aca="false">IF(Calc!G14="","",Calc!G14)</f>
        <v>54</v>
      </c>
      <c r="F17" s="57" t="n">
        <f aca="false">IF(Calc!H14="","",Calc!H14)</f>
        <v>1000</v>
      </c>
      <c r="G17" s="56" t="n">
        <f aca="false">IF(Calc!J14="","",Calc!J14)</f>
        <v>466.8951</v>
      </c>
      <c r="H17" s="58" t="n">
        <f aca="false">IF(Calc!K14="","",Calc!K14)</f>
        <v>0.4668951</v>
      </c>
    </row>
    <row r="18" customFormat="false" ht="11.25" hidden="false" customHeight="true" outlineLevel="0" collapsed="false">
      <c r="A18" s="54" t="str">
        <f aca="false">IF(Calc!A15="","",Calc!A15)</f>
        <v>Hoist Chain</v>
      </c>
      <c r="B18" s="54" t="str">
        <f aca="false">IF(Calc!B15="","",Calc!B15)</f>
        <v>CM 7.92 x 21.80 1 Fall</v>
      </c>
      <c r="C18" s="55" t="n">
        <f aca="false">IF(Calc!F15="","",Calc!F15)</f>
        <v>1</v>
      </c>
      <c r="D18" s="55" t="n">
        <f aca="false">IF(Calc!D15="","",Calc!D15)</f>
        <v>20</v>
      </c>
      <c r="E18" s="56" t="n">
        <f aca="false">IF(Calc!G15="","",Calc!G15)</f>
        <v>28</v>
      </c>
      <c r="F18" s="57" t="str">
        <f aca="false">IF(Calc!H15="","",Calc!H15)</f>
        <v>–</v>
      </c>
      <c r="G18" s="56" t="str">
        <f aca="false">IF(Calc!J15="","",Calc!J15)</f>
        <v/>
      </c>
      <c r="H18" s="58" t="str">
        <f aca="false">IF(Calc!K15="","",Calc!K15)</f>
        <v/>
      </c>
    </row>
    <row r="19" customFormat="false" ht="11.25" hidden="false" customHeight="true" outlineLevel="0" collapsed="false">
      <c r="A19" s="54" t="str">
        <f aca="false">IF(Calc!A16="","",Calc!A16)</f>
        <v>Hoist Chain Bag</v>
      </c>
      <c r="B19" s="54" t="str">
        <f aca="false">IF(Calc!B16="","",Calc!B16)</f>
        <v/>
      </c>
      <c r="C19" s="55" t="n">
        <f aca="false">IF(Calc!F16="","",Calc!F16)</f>
        <v>1</v>
      </c>
      <c r="D19" s="55" t="str">
        <f aca="false">IF(Calc!D16="","",Calc!D16)</f>
        <v/>
      </c>
      <c r="E19" s="56" t="str">
        <f aca="false">IF(Calc!G16="","",Calc!G16)</f>
        <v/>
      </c>
      <c r="F19" s="57" t="str">
        <f aca="false">IF(Calc!H16="","",Calc!H16)</f>
        <v/>
      </c>
      <c r="G19" s="56" t="str">
        <f aca="false">IF(Calc!J16="","",Calc!J16)</f>
        <v/>
      </c>
      <c r="H19" s="58" t="str">
        <f aca="false">IF(Calc!K16="","",Calc!K16)</f>
        <v/>
      </c>
    </row>
    <row r="20" customFormat="false" ht="11.25" hidden="false" customHeight="true" outlineLevel="0" collapsed="false">
      <c r="A20" s="54" t="str">
        <f aca="false">IF(Calc!A17="","",Calc!A17)</f>
        <v>Hoist Power</v>
      </c>
      <c r="B20" s="54" t="str">
        <f aca="false">IF(Calc!B17="","",Calc!B17)</f>
        <v>H07RN-F 4x 2.5mm²</v>
      </c>
      <c r="C20" s="55" t="n">
        <f aca="false">IF(Calc!F17="","",Calc!F17)</f>
        <v>1</v>
      </c>
      <c r="D20" s="55" t="n">
        <f aca="false">IF(Calc!D17="","",Calc!D17)</f>
        <v>8</v>
      </c>
      <c r="E20" s="56" t="n">
        <f aca="false">IF(Calc!G17="","",Calc!G17)</f>
        <v>2.08</v>
      </c>
      <c r="F20" s="57" t="str">
        <f aca="false">IF(Calc!H17="","",Calc!H17)</f>
        <v>–</v>
      </c>
      <c r="G20" s="56" t="str">
        <f aca="false">IF(Calc!J17="","",Calc!J17)</f>
        <v/>
      </c>
      <c r="H20" s="58" t="str">
        <f aca="false">IF(Calc!K17="","",Calc!K17)</f>
        <v/>
      </c>
    </row>
    <row r="21" customFormat="false" ht="11.25" hidden="false" customHeight="true" outlineLevel="0" collapsed="false">
      <c r="A21" s="54" t="str">
        <f aca="false">IF(Calc!A18="","",Calc!A18)</f>
        <v>Hoist Control</v>
      </c>
      <c r="B21" s="54" t="str">
        <f aca="false">IF(Calc!B18="","",Calc!B18)</f>
        <v>H07RN-F 3x 2.5mm²</v>
      </c>
      <c r="C21" s="55" t="n">
        <f aca="false">IF(Calc!F18="","",Calc!F18)</f>
        <v>1</v>
      </c>
      <c r="D21" s="55" t="n">
        <f aca="false">IF(Calc!D18="","",Calc!D18)</f>
        <v>8</v>
      </c>
      <c r="E21" s="56" t="n">
        <f aca="false">IF(Calc!G18="","",Calc!G18)</f>
        <v>0.984</v>
      </c>
      <c r="F21" s="57" t="str">
        <f aca="false">IF(Calc!H18="","",Calc!H18)</f>
        <v>–</v>
      </c>
      <c r="G21" s="56" t="str">
        <f aca="false">IF(Calc!J18="","",Calc!J18)</f>
        <v/>
      </c>
      <c r="H21" s="58" t="str">
        <f aca="false">IF(Calc!K18="","",Calc!K18)</f>
        <v/>
      </c>
    </row>
    <row r="22" customFormat="false" ht="11.25" hidden="false" customHeight="true" outlineLevel="0" collapsed="false">
      <c r="A22" s="54" t="str">
        <f aca="false">IF(Calc!A19="","",Calc!A19)</f>
        <v>Hoist Control Connector</v>
      </c>
      <c r="B22" s="54" t="str">
        <f aca="false">IF(Calc!B19="","",Calc!B19)</f>
        <v>PCE Midnight IP44 Shark 16A Plug 3 Pole</v>
      </c>
      <c r="C22" s="55" t="n">
        <f aca="false">IF(Calc!F19="","",Calc!F19)</f>
        <v>1</v>
      </c>
      <c r="D22" s="55" t="str">
        <f aca="false">IF(Calc!D19="","",Calc!D19)</f>
        <v/>
      </c>
      <c r="E22" s="56" t="n">
        <f aca="false">IF(Calc!G19="","",Calc!G19)</f>
        <v>0.109</v>
      </c>
      <c r="F22" s="57" t="str">
        <f aca="false">IF(Calc!H19="","",Calc!H19)</f>
        <v>–</v>
      </c>
      <c r="G22" s="56" t="str">
        <f aca="false">IF(Calc!J19="","",Calc!J19)</f>
        <v/>
      </c>
      <c r="H22" s="58" t="str">
        <f aca="false">IF(Calc!K19="","",Calc!K19)</f>
        <v/>
      </c>
    </row>
    <row r="23" customFormat="false" ht="11.25" hidden="false" customHeight="true" outlineLevel="0" collapsed="false">
      <c r="A23" s="54" t="str">
        <f aca="false">IF(Calc!A20="","",Calc!A20)</f>
        <v>Hoist Power Connector</v>
      </c>
      <c r="B23" s="54" t="str">
        <f aca="false">IF(Calc!B20="","",Calc!B20)</f>
        <v>PCE Midnight IP44 Shark 16A Socket 4 Pole</v>
      </c>
      <c r="C23" s="55" t="n">
        <f aca="false">IF(Calc!F20="","",Calc!F20)</f>
        <v>1</v>
      </c>
      <c r="D23" s="55" t="str">
        <f aca="false">IF(Calc!D20="","",Calc!D20)</f>
        <v/>
      </c>
      <c r="E23" s="56" t="n">
        <f aca="false">IF(Calc!G20="","",Calc!G20)</f>
        <v>0.161</v>
      </c>
      <c r="F23" s="57" t="str">
        <f aca="false">IF(Calc!H20="","",Calc!H20)</f>
        <v>–</v>
      </c>
      <c r="G23" s="56" t="str">
        <f aca="false">IF(Calc!J20="","",Calc!J20)</f>
        <v/>
      </c>
      <c r="H23" s="58" t="str">
        <f aca="false">IF(Calc!K20="","",Calc!K20)</f>
        <v/>
      </c>
    </row>
    <row r="24" customFormat="false" ht="11.25" hidden="false" customHeight="true" outlineLevel="0" collapsed="false">
      <c r="A24" s="54" t="str">
        <f aca="false">IF(Calc!A21="","",Calc!A21)</f>
        <v/>
      </c>
      <c r="B24" s="54" t="str">
        <f aca="false">IF(Calc!B21="","",Calc!B21)</f>
        <v/>
      </c>
      <c r="C24" s="55" t="str">
        <f aca="false">IF(Calc!F21="","",Calc!F21)</f>
        <v/>
      </c>
      <c r="D24" s="55" t="str">
        <f aca="false">IF(Calc!D21="","",Calc!D21)</f>
        <v/>
      </c>
      <c r="E24" s="56" t="str">
        <f aca="false">IF(Calc!G21="","",Calc!G21)</f>
        <v/>
      </c>
      <c r="F24" s="57" t="str">
        <f aca="false">IF(Calc!H21="","",Calc!H21)</f>
        <v/>
      </c>
      <c r="G24" s="56" t="str">
        <f aca="false">IF(Calc!J21="","",Calc!J21)</f>
        <v/>
      </c>
      <c r="H24" s="58" t="str">
        <f aca="false">IF(Calc!K21="","",Calc!K21)</f>
        <v/>
      </c>
    </row>
    <row r="25" customFormat="false" ht="11.25" hidden="false" customHeight="true" outlineLevel="0" collapsed="false">
      <c r="A25" s="52" t="str">
        <f aca="false">Calc!A22</f>
        <v>HOOK / JUNCTION – below the hoist, feeds both paths</v>
      </c>
      <c r="B25" s="52"/>
      <c r="C25" s="52"/>
      <c r="D25" s="52"/>
      <c r="E25" s="53" t="n">
        <f aca="false">Calc!G22</f>
        <v>2.36</v>
      </c>
      <c r="F25" s="6"/>
      <c r="G25" s="6"/>
      <c r="H25" s="6"/>
    </row>
    <row r="26" customFormat="false" ht="11.25" hidden="false" customHeight="true" outlineLevel="0" collapsed="false">
      <c r="A26" s="54" t="str">
        <f aca="false">IF(Calc!A23="","",Calc!A23)</f>
        <v>Shackles</v>
      </c>
      <c r="B26" s="54" t="str">
        <f aca="false">IF(Calc!B23="","",Calc!B23)</f>
        <v>Crosby S-209T Theatrical Shackle 3¼t</v>
      </c>
      <c r="C26" s="55" t="n">
        <f aca="false">IF(Calc!F23="","",Calc!F23)</f>
        <v>3</v>
      </c>
      <c r="D26" s="55" t="str">
        <f aca="false">IF(Calc!D23="","",Calc!D23)</f>
        <v/>
      </c>
      <c r="E26" s="56" t="n">
        <f aca="false">IF(Calc!G23="","",Calc!G23)</f>
        <v>1.86</v>
      </c>
      <c r="F26" s="57" t="n">
        <f aca="false">IF(Calc!H23="","",Calc!H23)</f>
        <v>3250</v>
      </c>
      <c r="G26" s="56" t="n">
        <f aca="false">IF(Calc!J23="","",Calc!J23)</f>
        <v>375.3414</v>
      </c>
      <c r="H26" s="58" t="n">
        <f aca="false">IF(Calc!K23="","",Calc!K23)</f>
        <v>0.115489661538462</v>
      </c>
    </row>
    <row r="27" customFormat="false" ht="11.25" hidden="false" customHeight="true" outlineLevel="0" collapsed="false">
      <c r="A27" s="54" t="str">
        <f aca="false">IF(Calc!A24="","",Calc!A24)</f>
        <v>Master Link</v>
      </c>
      <c r="B27" s="54" t="str">
        <f aca="false">IF(Calc!B24="","",Calc!B24)</f>
        <v>Grade 80 Masterlink ML/A16 2.5t WLL</v>
      </c>
      <c r="C27" s="55" t="n">
        <f aca="false">IF(Calc!F24="","",Calc!F24)</f>
        <v>1</v>
      </c>
      <c r="D27" s="55" t="str">
        <f aca="false">IF(Calc!D24="","",Calc!D24)</f>
        <v/>
      </c>
      <c r="E27" s="56" t="n">
        <f aca="false">IF(Calc!G24="","",Calc!G24)</f>
        <v>0.5</v>
      </c>
      <c r="F27" s="57" t="n">
        <f aca="false">IF(Calc!H24="","",Calc!H24)</f>
        <v>2500</v>
      </c>
      <c r="G27" s="56" t="n">
        <f aca="false">IF(Calc!J24="","",Calc!J24)</f>
        <v>374.8164</v>
      </c>
      <c r="H27" s="58" t="n">
        <f aca="false">IF(Calc!K24="","",Calc!K24)</f>
        <v>0.14992656</v>
      </c>
    </row>
    <row r="28" customFormat="false" ht="11.25" hidden="false" customHeight="true" outlineLevel="0" collapsed="false">
      <c r="A28" s="54" t="str">
        <f aca="false">IF(Calc!A25="","",Calc!A25)</f>
        <v/>
      </c>
      <c r="B28" s="54" t="str">
        <f aca="false">IF(Calc!B25="","",Calc!B25)</f>
        <v/>
      </c>
      <c r="C28" s="55" t="str">
        <f aca="false">IF(Calc!F25="","",Calc!F25)</f>
        <v/>
      </c>
      <c r="D28" s="55" t="str">
        <f aca="false">IF(Calc!D25="","",Calc!D25)</f>
        <v/>
      </c>
      <c r="E28" s="56" t="str">
        <f aca="false">IF(Calc!G25="","",Calc!G25)</f>
        <v/>
      </c>
      <c r="F28" s="57" t="str">
        <f aca="false">IF(Calc!H25="","",Calc!H25)</f>
        <v/>
      </c>
      <c r="G28" s="56" t="str">
        <f aca="false">IF(Calc!J25="","",Calc!J25)</f>
        <v/>
      </c>
      <c r="H28" s="58" t="str">
        <f aca="false">IF(Calc!K25="","",Calc!K25)</f>
        <v/>
      </c>
    </row>
    <row r="29" customFormat="false" ht="11.25" hidden="false" customHeight="true" outlineLevel="0" collapsed="false">
      <c r="A29" s="54" t="str">
        <f aca="false">IF(Calc!A26="","",Calc!A26)</f>
        <v/>
      </c>
      <c r="B29" s="54" t="str">
        <f aca="false">IF(Calc!B26="","",Calc!B26)</f>
        <v/>
      </c>
      <c r="C29" s="55" t="str">
        <f aca="false">IF(Calc!F26="","",Calc!F26)</f>
        <v/>
      </c>
      <c r="D29" s="55" t="str">
        <f aca="false">IF(Calc!D26="","",Calc!D26)</f>
        <v/>
      </c>
      <c r="E29" s="56" t="str">
        <f aca="false">IF(Calc!G26="","",Calc!G26)</f>
        <v/>
      </c>
      <c r="F29" s="57" t="str">
        <f aca="false">IF(Calc!H26="","",Calc!H26)</f>
        <v/>
      </c>
      <c r="G29" s="56" t="str">
        <f aca="false">IF(Calc!J26="","",Calc!J26)</f>
        <v/>
      </c>
      <c r="H29" s="58" t="str">
        <f aca="false">IF(Calc!K26="","",Calc!K26)</f>
        <v/>
      </c>
    </row>
    <row r="30" customFormat="false" ht="11.25" hidden="false" customHeight="true" outlineLevel="0" collapsed="false">
      <c r="A30" s="52" t="str">
        <f aca="false">Calc!A27</f>
        <v>LOAD PATH 1 – ARRAY (list top-down)</v>
      </c>
      <c r="B30" s="52"/>
      <c r="C30" s="52"/>
      <c r="D30" s="52"/>
      <c r="E30" s="53" t="n">
        <f aca="false">Calc!G27</f>
        <v>342</v>
      </c>
      <c r="F30" s="6"/>
      <c r="G30" s="6"/>
      <c r="H30" s="6"/>
    </row>
    <row r="31" customFormat="false" ht="11.25" hidden="false" customHeight="true" outlineLevel="0" collapsed="false">
      <c r="A31" s="54" t="str">
        <f aca="false">IF(Calc!A28="","",Calc!A28)</f>
        <v>Rigging Frame</v>
      </c>
      <c r="B31" s="54" t="str">
        <f aca="false">IF(Calc!B28="","",Calc!B28)</f>
        <v>L-Acoustics M-BAR</v>
      </c>
      <c r="C31" s="55" t="n">
        <f aca="false">IF(Calc!F28="","",Calc!F28)</f>
        <v>1</v>
      </c>
      <c r="D31" s="55" t="str">
        <f aca="false">IF(Calc!D28="","",Calc!D28)</f>
        <v/>
      </c>
      <c r="E31" s="56" t="n">
        <f aca="false">IF(Calc!G28="","",Calc!G28)</f>
        <v>5</v>
      </c>
      <c r="F31" s="57" t="n">
        <f aca="false">IF(Calc!H28="","",Calc!H28)</f>
        <v>860</v>
      </c>
      <c r="G31" s="56" t="n">
        <f aca="false">IF(Calc!J28="","",Calc!J28)</f>
        <v>353.85</v>
      </c>
      <c r="H31" s="58" t="n">
        <f aca="false">IF(Calc!K28="","",Calc!K28)</f>
        <v>0.411453488372093</v>
      </c>
    </row>
    <row r="32" customFormat="false" ht="11.25" hidden="false" customHeight="true" outlineLevel="0" collapsed="false">
      <c r="A32" s="54" t="str">
        <f aca="false">IF(Calc!A29="","",Calc!A29)</f>
        <v>Rigging Frame</v>
      </c>
      <c r="B32" s="54" t="str">
        <f aca="false">IF(Calc!B29="","",Calc!B29)</f>
        <v>L-Acoustics M-BUMP</v>
      </c>
      <c r="C32" s="55" t="n">
        <f aca="false">IF(Calc!F29="","",Calc!F29)</f>
        <v>1</v>
      </c>
      <c r="D32" s="55" t="str">
        <f aca="false">IF(Calc!D29="","",Calc!D29)</f>
        <v/>
      </c>
      <c r="E32" s="56" t="n">
        <f aca="false">IF(Calc!G29="","",Calc!G29)</f>
        <v>25</v>
      </c>
      <c r="F32" s="57" t="n">
        <f aca="false">IF(Calc!H29="","",Calc!H29)</f>
        <v>832</v>
      </c>
      <c r="G32" s="56" t="n">
        <f aca="false">IF(Calc!J29="","",Calc!J29)</f>
        <v>327.6</v>
      </c>
      <c r="H32" s="58" t="n">
        <f aca="false">IF(Calc!K29="","",Calc!K29)</f>
        <v>0.39375</v>
      </c>
    </row>
    <row r="33" customFormat="false" ht="11.25" hidden="false" customHeight="true" outlineLevel="0" collapsed="false">
      <c r="A33" s="54" t="str">
        <f aca="false">IF(Calc!A30="","",Calc!A30)</f>
        <v>Mid Hi Box</v>
      </c>
      <c r="B33" s="54" t="str">
        <f aca="false">IF(Calc!B30="","",Calc!B30)</f>
        <v>L-Acoustics KARA II</v>
      </c>
      <c r="C33" s="55" t="n">
        <f aca="false">IF(Calc!F30="","",Calc!F30)</f>
        <v>12</v>
      </c>
      <c r="D33" s="55" t="str">
        <f aca="false">IF(Calc!D30="","",Calc!D30)</f>
        <v/>
      </c>
      <c r="E33" s="56" t="n">
        <f aca="false">IF(Calc!G30="","",Calc!G30)</f>
        <v>312</v>
      </c>
      <c r="F33" s="57" t="str">
        <f aca="false">IF(Calc!H30="","",Calc!H30)</f>
        <v>–</v>
      </c>
      <c r="G33" s="56" t="str">
        <f aca="false">IF(Calc!J30="","",Calc!J30)</f>
        <v/>
      </c>
      <c r="H33" s="58" t="str">
        <f aca="false">IF(Calc!K30="","",Calc!K30)</f>
        <v/>
      </c>
    </row>
    <row r="34" customFormat="false" ht="11.25" hidden="false" customHeight="true" outlineLevel="0" collapsed="false">
      <c r="A34" s="54" t="str">
        <f aca="false">IF(Calc!A31="","",Calc!A31)</f>
        <v/>
      </c>
      <c r="B34" s="54" t="str">
        <f aca="false">IF(Calc!B31="","",Calc!B31)</f>
        <v/>
      </c>
      <c r="C34" s="55" t="str">
        <f aca="false">IF(Calc!F31="","",Calc!F31)</f>
        <v/>
      </c>
      <c r="D34" s="55" t="str">
        <f aca="false">IF(Calc!D31="","",Calc!D31)</f>
        <v/>
      </c>
      <c r="E34" s="56" t="str">
        <f aca="false">IF(Calc!G31="","",Calc!G31)</f>
        <v/>
      </c>
      <c r="F34" s="57" t="str">
        <f aca="false">IF(Calc!H31="","",Calc!H31)</f>
        <v/>
      </c>
      <c r="G34" s="56" t="str">
        <f aca="false">IF(Calc!J31="","",Calc!J31)</f>
        <v/>
      </c>
      <c r="H34" s="58" t="str">
        <f aca="false">IF(Calc!K31="","",Calc!K31)</f>
        <v/>
      </c>
    </row>
    <row r="35" customFormat="false" ht="11.25" hidden="false" customHeight="true" outlineLevel="0" collapsed="false">
      <c r="A35" s="54" t="str">
        <f aca="false">IF(Calc!A32="","",Calc!A32)</f>
        <v/>
      </c>
      <c r="B35" s="54" t="str">
        <f aca="false">IF(Calc!B32="","",Calc!B32)</f>
        <v/>
      </c>
      <c r="C35" s="55" t="str">
        <f aca="false">IF(Calc!F32="","",Calc!F32)</f>
        <v/>
      </c>
      <c r="D35" s="55" t="str">
        <f aca="false">IF(Calc!D32="","",Calc!D32)</f>
        <v/>
      </c>
      <c r="E35" s="56" t="str">
        <f aca="false">IF(Calc!G32="","",Calc!G32)</f>
        <v/>
      </c>
      <c r="F35" s="57" t="str">
        <f aca="false">IF(Calc!H32="","",Calc!H32)</f>
        <v/>
      </c>
      <c r="G35" s="56" t="str">
        <f aca="false">IF(Calc!J32="","",Calc!J32)</f>
        <v/>
      </c>
      <c r="H35" s="58" t="str">
        <f aca="false">IF(Calc!K32="","",Calc!K32)</f>
        <v/>
      </c>
    </row>
    <row r="36" customFormat="false" ht="11.25" hidden="false" customHeight="true" outlineLevel="0" collapsed="false">
      <c r="A36" s="54" t="str">
        <f aca="false">IF(Calc!A33="","",Calc!A33)</f>
        <v/>
      </c>
      <c r="B36" s="54" t="str">
        <f aca="false">IF(Calc!B33="","",Calc!B33)</f>
        <v/>
      </c>
      <c r="C36" s="55" t="str">
        <f aca="false">IF(Calc!F33="","",Calc!F33)</f>
        <v/>
      </c>
      <c r="D36" s="55" t="str">
        <f aca="false">IF(Calc!D33="","",Calc!D33)</f>
        <v/>
      </c>
      <c r="E36" s="56" t="str">
        <f aca="false">IF(Calc!G33="","",Calc!G33)</f>
        <v/>
      </c>
      <c r="F36" s="57" t="str">
        <f aca="false">IF(Calc!H33="","",Calc!H33)</f>
        <v/>
      </c>
      <c r="G36" s="56" t="str">
        <f aca="false">IF(Calc!J33="","",Calc!J33)</f>
        <v/>
      </c>
      <c r="H36" s="58" t="str">
        <f aca="false">IF(Calc!K33="","",Calc!K33)</f>
        <v/>
      </c>
    </row>
    <row r="37" customFormat="false" ht="11.25" hidden="false" customHeight="true" outlineLevel="0" collapsed="false">
      <c r="A37" s="52" t="str">
        <f aca="false">Calc!A34</f>
        <v>LOAD PATH 2 – CABLES &amp; CABLE PICK (list top-down)</v>
      </c>
      <c r="B37" s="52"/>
      <c r="C37" s="52"/>
      <c r="D37" s="52"/>
      <c r="E37" s="53" t="n">
        <f aca="false">Calc!G34</f>
        <v>14.968</v>
      </c>
      <c r="F37" s="6"/>
      <c r="G37" s="6"/>
      <c r="H37" s="6"/>
    </row>
    <row r="38" customFormat="false" ht="11.25" hidden="false" customHeight="true" outlineLevel="0" collapsed="false">
      <c r="A38" s="54" t="str">
        <f aca="false">IF(Calc!A35="","",Calc!A35)</f>
        <v>Cable Pick</v>
      </c>
      <c r="B38" s="54" t="str">
        <f aca="false">IF(Calc!B35="","",Calc!B35)</f>
        <v>Roundsling 2t EN1492-2:2000 1.0mtr Circ 0.5mtr EWL</v>
      </c>
      <c r="C38" s="55" t="n">
        <f aca="false">IF(Calc!F35="","",Calc!F35)</f>
        <v>1</v>
      </c>
      <c r="D38" s="55" t="str">
        <f aca="false">IF(Calc!D35="","",Calc!D35)</f>
        <v/>
      </c>
      <c r="E38" s="56" t="n">
        <f aca="false">IF(Calc!G35="","",Calc!G35)</f>
        <v>0.04</v>
      </c>
      <c r="F38" s="57" t="n">
        <f aca="false">IF(Calc!H35="","",Calc!H35)</f>
        <v>2000</v>
      </c>
      <c r="G38" s="56" t="n">
        <f aca="false">IF(Calc!J35="","",Calc!J35)</f>
        <v>15.6744</v>
      </c>
      <c r="H38" s="58" t="n">
        <f aca="false">IF(Calc!K35="","",Calc!K35)</f>
        <v>0.0078372</v>
      </c>
    </row>
    <row r="39" customFormat="false" ht="11.25" hidden="false" customHeight="true" outlineLevel="0" collapsed="false">
      <c r="A39" s="54" t="str">
        <f aca="false">IF(Calc!A36="","",Calc!A36)</f>
        <v>Array Signal</v>
      </c>
      <c r="B39" s="54" t="str">
        <f aca="false">IF(Calc!B36="","",Calc!B36)</f>
        <v>Klotz eXtreme, 8 x 4,0 mm² with PA-COM 8p</v>
      </c>
      <c r="C39" s="55" t="n">
        <f aca="false">IF(Calc!F36="","",Calc!F36)</f>
        <v>2</v>
      </c>
      <c r="D39" s="55" t="n">
        <f aca="false">IF(Calc!D36="","",Calc!D36)</f>
        <v>8</v>
      </c>
      <c r="E39" s="56" t="n">
        <f aca="false">IF(Calc!G36="","",Calc!G36)</f>
        <v>11.128</v>
      </c>
      <c r="F39" s="57" t="str">
        <f aca="false">IF(Calc!H36="","",Calc!H36)</f>
        <v>–</v>
      </c>
      <c r="G39" s="56" t="str">
        <f aca="false">IF(Calc!J36="","",Calc!J36)</f>
        <v/>
      </c>
      <c r="H39" s="58" t="str">
        <f aca="false">IF(Calc!K36="","",Calc!K36)</f>
        <v/>
      </c>
    </row>
    <row r="40" customFormat="false" ht="11.25" hidden="false" customHeight="true" outlineLevel="0" collapsed="false">
      <c r="A40" s="54" t="str">
        <f aca="false">IF(Calc!A37="","",Calc!A37)</f>
        <v>Cable Split</v>
      </c>
      <c r="B40" s="54" t="str">
        <f aca="false">IF(Calc!B37="","",Calc!B37)</f>
        <v>Klotz L-ACOUSTICS DOFILL</v>
      </c>
      <c r="C40" s="55" t="n">
        <f aca="false">IF(Calc!F37="","",Calc!F37)</f>
        <v>2</v>
      </c>
      <c r="D40" s="55" t="str">
        <f aca="false">IF(Calc!D37="","",Calc!D37)</f>
        <v/>
      </c>
      <c r="E40" s="56" t="n">
        <f aca="false">IF(Calc!G37="","",Calc!G37)</f>
        <v>3.8</v>
      </c>
      <c r="F40" s="57" t="str">
        <f aca="false">IF(Calc!H37="","",Calc!H37)</f>
        <v>–</v>
      </c>
      <c r="G40" s="56" t="str">
        <f aca="false">IF(Calc!J37="","",Calc!J37)</f>
        <v/>
      </c>
      <c r="H40" s="58" t="str">
        <f aca="false">IF(Calc!K37="","",Calc!K37)</f>
        <v/>
      </c>
    </row>
    <row r="41" customFormat="false" ht="11.25" hidden="false" customHeight="true" outlineLevel="0" collapsed="false">
      <c r="A41" s="54" t="str">
        <f aca="false">IF(Calc!A38="","",Calc!A38)</f>
        <v/>
      </c>
      <c r="B41" s="54" t="str">
        <f aca="false">IF(Calc!B38="","",Calc!B38)</f>
        <v/>
      </c>
      <c r="C41" s="55" t="str">
        <f aca="false">IF(Calc!F38="","",Calc!F38)</f>
        <v/>
      </c>
      <c r="D41" s="55" t="str">
        <f aca="false">IF(Calc!D38="","",Calc!D38)</f>
        <v/>
      </c>
      <c r="E41" s="56" t="str">
        <f aca="false">IF(Calc!G38="","",Calc!G38)</f>
        <v/>
      </c>
      <c r="F41" s="57" t="str">
        <f aca="false">IF(Calc!H38="","",Calc!H38)</f>
        <v/>
      </c>
      <c r="G41" s="56" t="str">
        <f aca="false">IF(Calc!J38="","",Calc!J38)</f>
        <v/>
      </c>
      <c r="H41" s="58" t="str">
        <f aca="false">IF(Calc!K38="","",Calc!K38)</f>
        <v/>
      </c>
    </row>
    <row r="42" customFormat="false" ht="11.25" hidden="false" customHeight="true" outlineLevel="0" collapsed="false">
      <c r="A42" s="54" t="str">
        <f aca="false">IF(Calc!A39="","",Calc!A39)</f>
        <v/>
      </c>
      <c r="B42" s="54" t="str">
        <f aca="false">IF(Calc!B39="","",Calc!B39)</f>
        <v/>
      </c>
      <c r="C42" s="55" t="str">
        <f aca="false">IF(Calc!F39="","",Calc!F39)</f>
        <v/>
      </c>
      <c r="D42" s="55" t="str">
        <f aca="false">IF(Calc!D39="","",Calc!D39)</f>
        <v/>
      </c>
      <c r="E42" s="56" t="str">
        <f aca="false">IF(Calc!G39="","",Calc!G39)</f>
        <v/>
      </c>
      <c r="F42" s="57" t="str">
        <f aca="false">IF(Calc!H39="","",Calc!H39)</f>
        <v/>
      </c>
      <c r="G42" s="56" t="str">
        <f aca="false">IF(Calc!J39="","",Calc!J39)</f>
        <v/>
      </c>
      <c r="H42" s="58" t="str">
        <f aca="false">IF(Calc!K39="","",Calc!K39)</f>
        <v/>
      </c>
    </row>
    <row r="43" customFormat="false" ht="11.25" hidden="false" customHeight="true" outlineLevel="0" collapsed="false">
      <c r="A43" s="54" t="str">
        <f aca="false">IF(Calc!A40="","",Calc!A40)</f>
        <v/>
      </c>
      <c r="B43" s="54" t="str">
        <f aca="false">IF(Calc!B40="","",Calc!B40)</f>
        <v/>
      </c>
      <c r="C43" s="55" t="str">
        <f aca="false">IF(Calc!F40="","",Calc!F40)</f>
        <v/>
      </c>
      <c r="D43" s="55" t="str">
        <f aca="false">IF(Calc!D40="","",Calc!D40)</f>
        <v/>
      </c>
      <c r="E43" s="56" t="str">
        <f aca="false">IF(Calc!G40="","",Calc!G40)</f>
        <v/>
      </c>
      <c r="F43" s="57" t="str">
        <f aca="false">IF(Calc!H40="","",Calc!H40)</f>
        <v/>
      </c>
      <c r="G43" s="56" t="str">
        <f aca="false">IF(Calc!J40="","",Calc!J40)</f>
        <v/>
      </c>
      <c r="H43" s="58" t="str">
        <f aca="false">IF(Calc!K40="","",Calc!K40)</f>
        <v/>
      </c>
    </row>
    <row r="44" customFormat="false" ht="15" hidden="false" customHeight="false" outlineLevel="0" collapsed="false">
      <c r="A44" s="59"/>
      <c r="B44" s="60" t="s">
        <v>64</v>
      </c>
      <c r="C44" s="59"/>
      <c r="D44" s="59"/>
      <c r="E44" s="61" t="n">
        <f aca="false">Calc!G41</f>
        <v>444.662</v>
      </c>
      <c r="F44" s="59"/>
      <c r="G44" s="59"/>
      <c r="H44" s="59"/>
    </row>
    <row r="46" customFormat="false" ht="15" hidden="false" customHeight="false" outlineLevel="0" collapsed="false">
      <c r="A46" s="1" t="s">
        <v>283</v>
      </c>
    </row>
    <row r="47" customFormat="false" ht="15" hidden="false" customHeight="false" outlineLevel="0" collapsed="false">
      <c r="A47" s="46" t="s">
        <v>284</v>
      </c>
      <c r="B47" s="62" t="s">
        <v>285</v>
      </c>
      <c r="G47" s="63" t="n">
        <f aca="false">Calc!G45</f>
        <v>444.662</v>
      </c>
    </row>
    <row r="48" customFormat="false" ht="15" hidden="false" customHeight="false" outlineLevel="0" collapsed="false">
      <c r="A48" s="46" t="s">
        <v>286</v>
      </c>
      <c r="F48" s="64" t="n">
        <f aca="false">Calc!F46</f>
        <v>0.05</v>
      </c>
      <c r="G48" s="65" t="n">
        <f aca="false">Calc!G46</f>
        <v>22.2331</v>
      </c>
    </row>
    <row r="49" customFormat="false" ht="15" hidden="false" customHeight="false" outlineLevel="0" collapsed="false">
      <c r="A49" s="46" t="s">
        <v>69</v>
      </c>
      <c r="B49" s="62" t="s">
        <v>287</v>
      </c>
      <c r="G49" s="66" t="n">
        <f aca="false">Calc!G47</f>
        <v>466.8951</v>
      </c>
    </row>
    <row r="50" customFormat="false" ht="15" hidden="false" customHeight="false" outlineLevel="0" collapsed="false">
      <c r="A50" s="46" t="s">
        <v>288</v>
      </c>
      <c r="B50" s="67" t="str">
        <f aca="false">IF(AND(Calc!B52="Yes",N(Calc!H49)&gt;0),"Stated "&amp;TEXT(Calc!H49,"#,##0")&amp;" kg – "&amp;TEXT(Calc!G47/Calc!H49,"0.0%")&amp;" used.  Source: "&amp;IF(Calc!B50="","NOT STATED",Calc!B50)&amp;IF(Calc!B51="","","  Conditions: "&amp;Calc!B51),"Design load submitted for approval by the venue / structural engineer.")</f>
        <v>Design load submitted for approval by the venue / structural engineer.</v>
      </c>
      <c r="C50" s="67"/>
      <c r="D50" s="67"/>
      <c r="E50" s="67"/>
      <c r="F50" s="67"/>
      <c r="G50" s="67"/>
      <c r="H50" s="67"/>
    </row>
    <row r="52" customFormat="false" ht="15" hidden="false" customHeight="false" outlineLevel="0" collapsed="false">
      <c r="A52" s="1" t="s">
        <v>289</v>
      </c>
      <c r="B52" s="62" t="s">
        <v>290</v>
      </c>
    </row>
    <row r="53" customFormat="false" ht="15" hidden="false" customHeight="false" outlineLevel="0" collapsed="false">
      <c r="A53" s="68" t="s">
        <v>78</v>
      </c>
      <c r="B53" s="68" t="s">
        <v>79</v>
      </c>
      <c r="C53" s="68"/>
      <c r="D53" s="68"/>
      <c r="E53" s="68"/>
      <c r="F53" s="69" t="s">
        <v>80</v>
      </c>
      <c r="G53" s="69" t="s">
        <v>291</v>
      </c>
      <c r="H53" s="69" t="s">
        <v>27</v>
      </c>
    </row>
    <row r="54" customFormat="false" ht="12" hidden="false" customHeight="true" outlineLevel="0" collapsed="false">
      <c r="A54" s="70" t="str">
        <f aca="false">Calc!A58</f>
        <v>Top rigging</v>
      </c>
      <c r="B54" s="54" t="str">
        <f aca="false">Calc!B58</f>
        <v>Wire rope sling 10mm 1,280 Kg SWL EN13414-1:2003</v>
      </c>
      <c r="C54" s="54"/>
      <c r="D54" s="54"/>
      <c r="E54" s="54"/>
      <c r="F54" s="57" t="n">
        <f aca="false">IF(Calc!H58="","",Calc!H58)</f>
        <v>1280</v>
      </c>
      <c r="G54" s="56" t="n">
        <f aca="false">IF(Calc!J58="","",Calc!J58)</f>
        <v>466.8951</v>
      </c>
      <c r="H54" s="71" t="n">
        <f aca="false">IF(Calc!K58="","",Calc!K58)</f>
        <v>0.364761796875</v>
      </c>
    </row>
    <row r="55" customFormat="false" ht="12" hidden="false" customHeight="true" outlineLevel="0" collapsed="false">
      <c r="A55" s="70" t="str">
        <f aca="false">Calc!A59</f>
        <v>Hoist</v>
      </c>
      <c r="B55" s="54" t="str">
        <f aca="false">Calc!B59</f>
        <v>Lodestar D8 LL 1000 Kg 1 Fall 7.92 x 21.80</v>
      </c>
      <c r="C55" s="54"/>
      <c r="D55" s="54"/>
      <c r="E55" s="54"/>
      <c r="F55" s="57" t="n">
        <f aca="false">IF(Calc!H59="","",Calc!H59)</f>
        <v>1000</v>
      </c>
      <c r="G55" s="56" t="n">
        <f aca="false">IF(Calc!J59="","",Calc!J59)</f>
        <v>466.8951</v>
      </c>
      <c r="H55" s="71" t="n">
        <f aca="false">IF(Calc!K59="","",Calc!K59)</f>
        <v>0.4668951</v>
      </c>
    </row>
    <row r="56" customFormat="false" ht="12" hidden="false" customHeight="true" outlineLevel="0" collapsed="false">
      <c r="A56" s="70" t="str">
        <f aca="false">Calc!A60</f>
        <v>Hook / junction</v>
      </c>
      <c r="B56" s="54" t="str">
        <f aca="false">Calc!B60</f>
        <v>Grade 80 Masterlink ML/A16 2.5t WLL</v>
      </c>
      <c r="C56" s="54"/>
      <c r="D56" s="54"/>
      <c r="E56" s="54"/>
      <c r="F56" s="57" t="n">
        <f aca="false">IF(Calc!H60="","",Calc!H60)</f>
        <v>2500</v>
      </c>
      <c r="G56" s="56" t="n">
        <f aca="false">IF(Calc!J60="","",Calc!J60)</f>
        <v>374.8164</v>
      </c>
      <c r="H56" s="71" t="n">
        <f aca="false">IF(Calc!K60="","",Calc!K60)</f>
        <v>0.14992656</v>
      </c>
    </row>
    <row r="57" customFormat="false" ht="12" hidden="false" customHeight="true" outlineLevel="0" collapsed="false">
      <c r="A57" s="70" t="str">
        <f aca="false">Calc!A61</f>
        <v>Load path 1 – array</v>
      </c>
      <c r="B57" s="54" t="str">
        <f aca="false">Calc!B61</f>
        <v>L-Acoustics M-BAR</v>
      </c>
      <c r="C57" s="54"/>
      <c r="D57" s="54"/>
      <c r="E57" s="54"/>
      <c r="F57" s="57" t="n">
        <f aca="false">IF(Calc!H61="","",Calc!H61)</f>
        <v>860</v>
      </c>
      <c r="G57" s="56" t="n">
        <f aca="false">IF(Calc!J61="","",Calc!J61)</f>
        <v>353.85</v>
      </c>
      <c r="H57" s="71" t="n">
        <f aca="false">IF(Calc!K61="","",Calc!K61)</f>
        <v>0.411453488372093</v>
      </c>
    </row>
    <row r="58" customFormat="false" ht="12" hidden="false" customHeight="true" outlineLevel="0" collapsed="false">
      <c r="A58" s="70" t="str">
        <f aca="false">Calc!A62</f>
        <v>Load path 2 – cables</v>
      </c>
      <c r="B58" s="54" t="str">
        <f aca="false">Calc!B62</f>
        <v>Roundsling 2t EN1492-2:2000 1.0mtr Circ 0.5mtr EWL</v>
      </c>
      <c r="C58" s="54"/>
      <c r="D58" s="54"/>
      <c r="E58" s="54"/>
      <c r="F58" s="57" t="n">
        <f aca="false">IF(Calc!H62="","",Calc!H62)</f>
        <v>2000</v>
      </c>
      <c r="G58" s="56" t="n">
        <f aca="false">IF(Calc!J62="","",Calc!J62)</f>
        <v>15.6744</v>
      </c>
      <c r="H58" s="71" t="n">
        <f aca="false">IF(Calc!K62="","",Calc!K62)</f>
        <v>0.0078372</v>
      </c>
    </row>
    <row r="59" customFormat="false" ht="15" hidden="false" customHeight="true" outlineLevel="0" collapsed="false">
      <c r="A59" s="46" t="s">
        <v>86</v>
      </c>
      <c r="B59" s="67" t="str">
        <f aca="false">Calc!B64</f>
        <v>Lodestar D8 LL 1000 Kg 1 Fall 7.92 x 21.80</v>
      </c>
      <c r="C59" s="67"/>
      <c r="D59" s="67"/>
      <c r="E59" s="67"/>
      <c r="F59" s="67"/>
      <c r="G59" s="67"/>
      <c r="H59" s="33" t="n">
        <f aca="false">IF(Calc!K64="","",Calc!K64)</f>
        <v>0.4668951</v>
      </c>
    </row>
    <row r="60" customFormat="false" ht="15" hidden="false" customHeight="false" outlineLevel="0" collapsed="false">
      <c r="A60" s="46" t="s">
        <v>292</v>
      </c>
      <c r="B60" s="72" t="str">
        <f aca="false">Calc!B42</f>
        <v>⚠ MISSING DATA – total understated. Resolve TBC / NOT FOUND / LEN? flags.</v>
      </c>
      <c r="C60" s="72"/>
      <c r="D60" s="72"/>
      <c r="E60" s="72"/>
      <c r="F60" s="72"/>
      <c r="G60" s="72"/>
      <c r="H60" s="72"/>
    </row>
    <row r="61" customFormat="false" ht="15" hidden="false" customHeight="false" outlineLevel="0" collapsed="false">
      <c r="A61" s="46" t="s">
        <v>293</v>
      </c>
      <c r="B61" s="72" t="str">
        <f aca="false">IF(Calc!E4="Yes","Included – components above the hoist are listed in the top rigging zone and checked.","NOT INCLUDED – components above the hoist are not listed and not checked.")</f>
        <v>Included – components above the hoist are listed in the top rigging zone and checked.</v>
      </c>
      <c r="C61" s="72"/>
      <c r="D61" s="72"/>
      <c r="E61" s="72"/>
      <c r="F61" s="72"/>
      <c r="G61" s="72"/>
      <c r="H61" s="72"/>
    </row>
    <row r="62" customFormat="false" ht="15" hidden="false" customHeight="false" outlineLevel="0" collapsed="false">
      <c r="A62" s="46" t="s">
        <v>294</v>
      </c>
      <c r="B62" s="72" t="str">
        <f aca="false">IF(Calc!E5="Body up","Body up – hoist checked against the hook load; its own weight, chain and cables hang on the top rigging.","Body down – hoist checked against its own weight, chain, bag and cables plus the hook load.")</f>
        <v>Body down – hoist checked against its own weight, chain, bag and cables plus the hook load.</v>
      </c>
      <c r="C62" s="72"/>
      <c r="D62" s="72"/>
      <c r="E62" s="72"/>
      <c r="F62" s="72"/>
      <c r="G62" s="72"/>
      <c r="H62" s="72"/>
    </row>
    <row r="64" customFormat="false" ht="25.5" hidden="false" customHeight="true" outlineLevel="0" collapsed="false">
      <c r="A64" s="73" t="s">
        <v>88</v>
      </c>
      <c r="B64" s="74" t="s">
        <v>295</v>
      </c>
      <c r="C64" s="74"/>
      <c r="D64" s="74"/>
      <c r="E64" s="74"/>
      <c r="F64" s="74"/>
      <c r="G64" s="74"/>
      <c r="H64" s="74"/>
    </row>
    <row r="65" customFormat="false" ht="18" hidden="false" customHeight="true" outlineLevel="0" collapsed="false">
      <c r="A65" s="73" t="s">
        <v>90</v>
      </c>
      <c r="B65" s="74" t="s">
        <v>91</v>
      </c>
      <c r="C65" s="74"/>
      <c r="D65" s="74"/>
      <c r="E65" s="74"/>
      <c r="F65" s="74"/>
      <c r="G65" s="74"/>
      <c r="H65" s="74"/>
    </row>
    <row r="66" customFormat="false" ht="18" hidden="false" customHeight="true" outlineLevel="0" collapsed="false">
      <c r="A66" s="75" t="s">
        <v>92</v>
      </c>
      <c r="B66" s="74" t="s">
        <v>296</v>
      </c>
      <c r="C66" s="74"/>
      <c r="D66" s="74"/>
      <c r="E66" s="74"/>
      <c r="F66" s="74"/>
      <c r="G66" s="74"/>
      <c r="H66" s="74"/>
    </row>
    <row r="67" customFormat="false" ht="25.5" hidden="false" customHeight="true" outlineLevel="0" collapsed="false">
      <c r="A67" s="75" t="s">
        <v>297</v>
      </c>
      <c r="B67" s="74" t="s">
        <v>95</v>
      </c>
      <c r="C67" s="74"/>
      <c r="D67" s="74"/>
      <c r="E67" s="74"/>
      <c r="F67" s="74"/>
      <c r="G67" s="74"/>
      <c r="H67" s="74"/>
    </row>
    <row r="68" customFormat="false" ht="25.5" hidden="false" customHeight="true" outlineLevel="0" collapsed="false">
      <c r="A68" s="73" t="s">
        <v>96</v>
      </c>
      <c r="B68" s="74" t="s">
        <v>298</v>
      </c>
      <c r="C68" s="74"/>
      <c r="D68" s="74"/>
      <c r="E68" s="74"/>
      <c r="F68" s="74"/>
      <c r="G68" s="74"/>
      <c r="H68" s="74"/>
    </row>
    <row r="69" customFormat="false" ht="18" hidden="false" customHeight="true" outlineLevel="0" collapsed="false">
      <c r="A69" s="73" t="s">
        <v>98</v>
      </c>
      <c r="B69" s="74" t="s">
        <v>299</v>
      </c>
      <c r="C69" s="74"/>
      <c r="D69" s="74"/>
      <c r="E69" s="74"/>
      <c r="F69" s="74"/>
      <c r="G69" s="74"/>
      <c r="H69" s="74"/>
    </row>
    <row r="71" customFormat="false" ht="15.75" hidden="false" customHeight="true" outlineLevel="0" collapsed="false">
      <c r="A71" s="46" t="s">
        <v>300</v>
      </c>
      <c r="B71" s="76"/>
      <c r="C71" s="76"/>
      <c r="D71" s="46" t="s">
        <v>301</v>
      </c>
      <c r="E71" s="76"/>
      <c r="F71" s="76"/>
      <c r="G71" s="77" t="s">
        <v>302</v>
      </c>
      <c r="H71" s="76"/>
    </row>
    <row r="73" customFormat="false" ht="15.75" hidden="false" customHeight="true" outlineLevel="0" collapsed="false">
      <c r="A73" s="46" t="s">
        <v>303</v>
      </c>
      <c r="B73" s="76"/>
      <c r="C73" s="76"/>
      <c r="D73" s="46" t="s">
        <v>301</v>
      </c>
      <c r="E73" s="76"/>
      <c r="F73" s="76"/>
      <c r="G73" s="77" t="s">
        <v>302</v>
      </c>
      <c r="H73" s="76"/>
    </row>
  </sheetData>
  <mergeCells count="46">
    <mergeCell ref="A1:H1"/>
    <mergeCell ref="A2:H2"/>
    <mergeCell ref="B4:C4"/>
    <mergeCell ref="D4:F4"/>
    <mergeCell ref="G4:H4"/>
    <mergeCell ref="B5:C5"/>
    <mergeCell ref="D5:F5"/>
    <mergeCell ref="G5:H5"/>
    <mergeCell ref="B6:C6"/>
    <mergeCell ref="D6:F6"/>
    <mergeCell ref="G6:H6"/>
    <mergeCell ref="B7:C7"/>
    <mergeCell ref="D7:F7"/>
    <mergeCell ref="G7:H7"/>
    <mergeCell ref="B8:C8"/>
    <mergeCell ref="D8:F8"/>
    <mergeCell ref="G8:H8"/>
    <mergeCell ref="B9:C9"/>
    <mergeCell ref="D9:F9"/>
    <mergeCell ref="G9:H9"/>
    <mergeCell ref="A12:D12"/>
    <mergeCell ref="A16:D16"/>
    <mergeCell ref="A25:D25"/>
    <mergeCell ref="A30:D30"/>
    <mergeCell ref="A37:D37"/>
    <mergeCell ref="B50:H50"/>
    <mergeCell ref="B53:E53"/>
    <mergeCell ref="B54:E54"/>
    <mergeCell ref="B55:E55"/>
    <mergeCell ref="B56:E56"/>
    <mergeCell ref="B57:E57"/>
    <mergeCell ref="B58:E58"/>
    <mergeCell ref="B59:G59"/>
    <mergeCell ref="B60:H60"/>
    <mergeCell ref="B61:H61"/>
    <mergeCell ref="B62:H62"/>
    <mergeCell ref="B64:H64"/>
    <mergeCell ref="B65:H65"/>
    <mergeCell ref="B66:H66"/>
    <mergeCell ref="B67:H67"/>
    <mergeCell ref="B68:H68"/>
    <mergeCell ref="B69:H69"/>
    <mergeCell ref="B71:C71"/>
    <mergeCell ref="E71:F71"/>
    <mergeCell ref="B73:C73"/>
    <mergeCell ref="E73:F73"/>
  </mergeCells>
  <conditionalFormatting sqref="H12:H43">
    <cfRule type="expression" priority="2" aboveAverage="0" equalAverage="0" bottom="0" percent="0" rank="0" text="" dxfId="0">
      <formula>AND(ISNUMBER($H12),$H12&gt;1)</formula>
    </cfRule>
    <cfRule type="expression" priority="3" aboveAverage="0" equalAverage="0" bottom="0" percent="0" rank="0" text="" dxfId="1">
      <formula>AND(ISNUMBER($H12),$H12&gt;=0.85)</formula>
    </cfRule>
    <cfRule type="expression" priority="4" aboveAverage="0" equalAverage="0" bottom="0" percent="0" rank="0" text="" dxfId="2">
      <formula>AND(ISNUMBER($H12),$H12&gt;0)</formula>
    </cfRule>
  </conditionalFormatting>
  <conditionalFormatting sqref="H54:H58">
    <cfRule type="expression" priority="5" aboveAverage="0" equalAverage="0" bottom="0" percent="0" rank="0" text="" dxfId="0">
      <formula>AND(ISNUMBER($H54),$H54&gt;1)</formula>
    </cfRule>
    <cfRule type="expression" priority="6" aboveAverage="0" equalAverage="0" bottom="0" percent="0" rank="0" text="" dxfId="1">
      <formula>AND(ISNUMBER($H54),$H54&gt;=0.85)</formula>
    </cfRule>
    <cfRule type="expression" priority="7" aboveAverage="0" equalAverage="0" bottom="0" percent="0" rank="0" text="" dxfId="2">
      <formula>AND(ISNUMBER($H54),$H54&gt;0)</formula>
    </cfRule>
  </conditionalFormatting>
  <conditionalFormatting sqref="H59">
    <cfRule type="expression" priority="8" aboveAverage="0" equalAverage="0" bottom="0" percent="0" rank="0" text="" dxfId="0">
      <formula>AND(ISNUMBER($H59),$H59&gt;1)</formula>
    </cfRule>
    <cfRule type="expression" priority="9" aboveAverage="0" equalAverage="0" bottom="0" percent="0" rank="0" text="" dxfId="1">
      <formula>AND(ISNUMBER($H59),$H59&gt;=0.85)</formula>
    </cfRule>
    <cfRule type="expression" priority="10" aboveAverage="0" equalAverage="0" bottom="0" percent="0" rank="0" text="" dxfId="2">
      <formula>AND(ISNUMBER($H59),$H59&gt;0)</formula>
    </cfRule>
  </conditionalFormatting>
  <conditionalFormatting sqref="B60">
    <cfRule type="expression" priority="11" aboveAverage="0" equalAverage="0" bottom="0" percent="0" rank="0" text="" dxfId="6">
      <formula>LEFT($B$60,1)&lt;&gt;"O"</formula>
    </cfRule>
  </conditionalFormatting>
  <conditionalFormatting sqref="B61">
    <cfRule type="expression" priority="12" aboveAverage="0" equalAverage="0" bottom="0" percent="0" rank="0" text="" dxfId="6">
      <formula>Calc!$E$4&lt;&gt;"Yes"</formula>
    </cfRule>
  </conditionalFormatting>
  <printOptions headings="false" gridLines="false" gridLinesSet="true" horizontalCentered="true" verticalCentered="false"/>
  <pageMargins left="0.4" right="0.4" top="0.4" bottom="0.3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2026-08-12T15:02:31Z</dcterms:created>
  <dc:creator>openpyxl</dc:creator>
  <dc:description/>
  <dc:language>en-US</dc:language>
  <cp:lastModifiedBy/>
  <dcterms:modified xsi:type="dcterms:W3CDTF">2026-10-21T09:18:34Z</dcterms:modified>
  <cp:revision>4</cp:revision>
  <dc:subject/>
  <dc:title/>
</cp:coreProperties>
</file>

<file path=docProps/custom.xml><?xml version="1.0" encoding="utf-8"?>
<Properties xmlns="http://schemas.openxmlformats.org/officeDocument/2006/custom-properties" xmlns:vt="http://schemas.openxmlformats.org/officeDocument/2006/docPropsVTypes"/>
</file>